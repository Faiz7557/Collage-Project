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20" windowHeight="5220"/>
  </bookViews>
  <sheets>
    <sheet name="fix" sheetId="2" r:id="rId1"/>
    <sheet name="Coba-cob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<sst xmlns="http://schemas.openxmlformats.org/spreadsheetml/2006/main" count="460" uniqueCount="52">
  <si>
    <t>R</t>
  </si>
  <si>
    <t>G</t>
  </si>
  <si>
    <t>B</t>
  </si>
  <si>
    <t>Rasa</t>
  </si>
  <si>
    <t>JUMLAH DATA</t>
  </si>
  <si>
    <t>Manis</t>
  </si>
  <si>
    <t>Kanan</t>
  </si>
  <si>
    <t>Asam</t>
  </si>
  <si>
    <t>Tawar</t>
  </si>
  <si>
    <t>Total</t>
  </si>
  <si>
    <t>kiri</t>
  </si>
  <si>
    <t>kanan</t>
  </si>
  <si>
    <t>Kiri</t>
  </si>
  <si>
    <t xml:space="preserve"> </t>
  </si>
  <si>
    <t>Threshold</t>
  </si>
  <si>
    <t>manis</t>
  </si>
  <si>
    <t>asam</t>
  </si>
  <si>
    <t>tawar</t>
  </si>
  <si>
    <t>Node</t>
  </si>
  <si>
    <t>Condition</t>
  </si>
  <si>
    <t>Outcome</t>
  </si>
  <si>
    <t>R &lt;= 100</t>
  </si>
  <si>
    <t>R &gt; 100</t>
  </si>
  <si>
    <t>G &lt;= 110 (dari 2)</t>
  </si>
  <si>
    <t>G &gt; 110 (dari 2)</t>
  </si>
  <si>
    <t>B &lt;= 20 (dari 4)</t>
  </si>
  <si>
    <t>B &gt; 20 (dari 4)</t>
  </si>
  <si>
    <t>jumlah</t>
  </si>
  <si>
    <t>entrophy</t>
  </si>
  <si>
    <t>X &lt;=100</t>
  </si>
  <si>
    <t>X &gt;=100</t>
  </si>
  <si>
    <t>G &lt;=110</t>
  </si>
  <si>
    <t>G &gt;=110</t>
  </si>
  <si>
    <t>B &lt;=20</t>
  </si>
  <si>
    <t>B&gt;=20</t>
  </si>
  <si>
    <t>TOTAL</t>
  </si>
  <si>
    <t>weight</t>
  </si>
  <si>
    <t>gain</t>
  </si>
  <si>
    <t>Data Train</t>
  </si>
  <si>
    <t>Data Test</t>
  </si>
  <si>
    <t>Pemisalan:</t>
  </si>
  <si>
    <t xml:space="preserve">Manis = </t>
  </si>
  <si>
    <t xml:space="preserve">Asam = </t>
  </si>
  <si>
    <t xml:space="preserve">Tawar = </t>
  </si>
  <si>
    <t>Jumlah Data:</t>
  </si>
  <si>
    <t>R =</t>
  </si>
  <si>
    <t>G =</t>
  </si>
  <si>
    <t>B =</t>
  </si>
  <si>
    <t>Rasa =</t>
  </si>
  <si>
    <t>Jumlah masing-masing kelas:</t>
  </si>
  <si>
    <t>Probabilitas setiap kelas:</t>
  </si>
  <si>
    <t>Gini 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</si>
</sst>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9" borderId="10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  <xf numFmtId="0" fontId="1" fillId="2" borderId="1" xfId="36" applyFont="1" applyFill="1" applyBorder="1" applyAlignment="1">
      <alignment horizontal="center"/>
    </xf>
    <xf numFmtId="0" fontId="0" fillId="3" borderId="1" xfId="36" applyFont="1" applyFill="1" applyBorder="1" applyAlignment="1">
      <alignment horizontal="center"/>
    </xf>
    <xf numFmtId="0" fontId="2" fillId="4" borderId="1" xfId="36" applyFont="1" applyFill="1" applyBorder="1" applyAlignment="1">
      <alignment horizontal="center"/>
    </xf>
    <xf numFmtId="0" fontId="0" fillId="5" borderId="1" xfId="36" applyFont="1" applyFill="1" applyBorder="1" applyAlignment="1">
      <alignment horizontal="center"/>
    </xf>
    <xf numFmtId="0" fontId="3" fillId="0" borderId="0" xfId="0" applyFont="1" applyFill="1" applyAlignment="1"/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3" fillId="0" borderId="1" xfId="0" applyFont="1" applyFill="1" applyBorder="1" applyAlignment="1"/>
    <xf numFmtId="0" fontId="0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0" fillId="3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0" fillId="3" borderId="0" xfId="0" applyFont="1" applyFill="1" applyBorder="1" applyAlignment="1"/>
    <xf numFmtId="0" fontId="1" fillId="4" borderId="0" xfId="0" applyFont="1" applyFill="1" applyBorder="1" applyAlignment="1"/>
  </cellXfs>
  <cellStyles count="49">
    <cellStyle name="Normal" xfId="0" builtinId="0"/>
    <cellStyle name="Koma" xfId="1" builtinId="3"/>
    <cellStyle name="Mata Uang" xfId="2" builtinId="4"/>
    <cellStyle name="Persen" xfId="3" builtinId="5"/>
    <cellStyle name="Koma [0]" xfId="4" builtinId="6"/>
    <cellStyle name="Mata Uang [0]" xfId="5" builtinId="7"/>
    <cellStyle name="Hyperlink" xfId="6" builtinId="8"/>
    <cellStyle name="Hyperlink yang Diikuti" xfId="7" builtinId="9"/>
    <cellStyle name="Catatan" xfId="8" builtinId="10"/>
    <cellStyle name="Teks Peringatan" xfId="9" builtinId="11"/>
    <cellStyle name="Judul" xfId="10" builtinId="15"/>
    <cellStyle name="Teks CExplanatory" xfId="11" builtinId="53"/>
    <cellStyle name="Kepala 1" xfId="12" builtinId="16"/>
    <cellStyle name="Kepala 2" xfId="13" builtinId="17"/>
    <cellStyle name="Kepala 3" xfId="14" builtinId="18"/>
    <cellStyle name="Kepala 4" xfId="15" builtinId="19"/>
    <cellStyle name="input" xfId="16" builtinId="20"/>
    <cellStyle name="Output" xfId="17" builtinId="21"/>
    <cellStyle name="Perhitungan" xfId="18" builtinId="22"/>
    <cellStyle name="Cek Sel" xfId="19" builtinId="23"/>
    <cellStyle name="Sel Ditautkan" xfId="20" builtinId="24"/>
    <cellStyle name="Total" xfId="21" builtinId="25"/>
    <cellStyle name="Baik" xfId="22" builtinId="26"/>
    <cellStyle name="Buruk" xfId="23" builtinId="27"/>
    <cellStyle name="Netral" xfId="24" builtinId="28"/>
    <cellStyle name="Aksen1" xfId="25" builtinId="29"/>
    <cellStyle name="20% - Aksen1" xfId="26" builtinId="30"/>
    <cellStyle name="40% - Aksen1" xfId="27" builtinId="31"/>
    <cellStyle name="60% - Aksen1" xfId="28" builtinId="32"/>
    <cellStyle name="Aksen2" xfId="29" builtinId="33"/>
    <cellStyle name="20% - Aksen2" xfId="30" builtinId="34"/>
    <cellStyle name="40% - Aksen2" xfId="31" builtinId="35"/>
    <cellStyle name="60% - Aksen2" xfId="32" builtinId="36"/>
    <cellStyle name="Aksen3" xfId="33" builtinId="37"/>
    <cellStyle name="20% - Aksen3" xfId="34" builtinId="38"/>
    <cellStyle name="40% - Aksen3" xfId="35" builtinId="39"/>
    <cellStyle name="60% - Aksen3" xfId="36" builtinId="40"/>
    <cellStyle name="Aksen4" xfId="37" builtinId="41"/>
    <cellStyle name="20% - Aksen4" xfId="38" builtinId="42"/>
    <cellStyle name="40% - Aksen4" xfId="39" builtinId="43"/>
    <cellStyle name="60% - Aksen4" xfId="40" builtinId="44"/>
    <cellStyle name="Aksen5" xfId="41" builtinId="45"/>
    <cellStyle name="20% - Aksen5" xfId="42" builtinId="46"/>
    <cellStyle name="40% - Aksen5" xfId="43" builtinId="47"/>
    <cellStyle name="60% - Aksen5" xfId="44" builtinId="48"/>
    <cellStyle name="Aksen6" xfId="45" builtinId="49"/>
    <cellStyle name="20% - Aksen6" xfId="46" builtinId="50"/>
    <cellStyle name="40% - Aksen6" xfId="47" builtinId="51"/>
    <cellStyle name="60% - Aksen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M91"/>
  <sheetViews>
    <sheetView tabSelected="1" zoomScale="62" zoomScaleNormal="62" workbookViewId="0">
      <selection activeCell="P24" sqref="P24"/>
    </sheetView>
  </sheetViews>
  <sheetFormatPr defaultColWidth="9" defaultRowHeight="14.5"/>
  <cols>
    <col min="1" max="9" width="9" style="2"/>
    <col min="10" max="16" width="12.8181818181818" style="2"/>
    <col min="17" max="17" width="9" style="2"/>
    <col min="18" max="18" width="14.4545454545455" style="2" customWidth="1"/>
    <col min="19" max="16384" width="9" style="2"/>
  </cols>
  <sheetData>
    <row r="1" s="2" customFormat="1" spans="1:91">
      <c r="A1" s="3" t="s">
        <v>0</v>
      </c>
      <c r="B1" s="4" t="s">
        <v>1</v>
      </c>
      <c r="C1" s="5" t="s">
        <v>2</v>
      </c>
      <c r="D1" s="6" t="s">
        <v>3</v>
      </c>
      <c r="E1" s="3" t="s">
        <v>0</v>
      </c>
      <c r="F1" s="4" t="s">
        <v>1</v>
      </c>
      <c r="G1" s="5" t="s">
        <v>2</v>
      </c>
      <c r="H1" s="7"/>
      <c r="I1" s="8" t="s">
        <v>4</v>
      </c>
      <c r="J1" s="9"/>
      <c r="K1" s="9"/>
      <c r="L1" s="9"/>
      <c r="M1" s="9"/>
      <c r="N1" s="9"/>
      <c r="O1" s="10"/>
      <c r="P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</row>
    <row r="2" s="2" customFormat="1" spans="1:91">
      <c r="A2" s="3">
        <v>137</v>
      </c>
      <c r="B2" s="4">
        <v>112</v>
      </c>
      <c r="C2" s="5">
        <v>73</v>
      </c>
      <c r="D2" s="6" t="s">
        <v>5</v>
      </c>
      <c r="E2" s="3" t="s">
        <v>6</v>
      </c>
      <c r="F2" s="4" t="s">
        <v>6</v>
      </c>
      <c r="G2" s="5" t="s">
        <v>6</v>
      </c>
      <c r="H2" s="7"/>
      <c r="I2" s="11" t="s">
        <v>5</v>
      </c>
      <c r="J2" s="11" t="s">
        <v>7</v>
      </c>
      <c r="K2" s="11" t="s">
        <v>8</v>
      </c>
      <c r="L2" s="12" t="s">
        <v>9</v>
      </c>
      <c r="M2" s="13" t="s">
        <v>10</v>
      </c>
      <c r="N2" s="13" t="s">
        <v>11</v>
      </c>
      <c r="O2" s="14" t="s">
        <v>9</v>
      </c>
      <c r="P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</row>
    <row r="3" s="2" customFormat="1" spans="1:91">
      <c r="A3" s="3">
        <v>125</v>
      </c>
      <c r="B3" s="4">
        <v>103</v>
      </c>
      <c r="C3" s="5">
        <v>65</v>
      </c>
      <c r="D3" s="6" t="s">
        <v>5</v>
      </c>
      <c r="E3" s="3" t="s">
        <v>6</v>
      </c>
      <c r="F3" s="4" t="s">
        <v>12</v>
      </c>
      <c r="G3" s="5" t="s">
        <v>6</v>
      </c>
      <c r="H3" s="7"/>
      <c r="I3" s="11">
        <v>30</v>
      </c>
      <c r="J3" s="11">
        <v>30</v>
      </c>
      <c r="K3" s="11">
        <v>30</v>
      </c>
      <c r="L3" s="12">
        <f>SUM(I3,J3,K3)</f>
        <v>90</v>
      </c>
      <c r="M3" s="13">
        <v>38</v>
      </c>
      <c r="N3" s="13">
        <v>52</v>
      </c>
      <c r="O3" s="14">
        <f>SUM(M3,N3)</f>
        <v>90</v>
      </c>
      <c r="P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</row>
    <row r="4" s="2" customFormat="1" spans="1:91">
      <c r="A4" s="3">
        <v>135</v>
      </c>
      <c r="B4" s="4">
        <v>80</v>
      </c>
      <c r="C4" s="5">
        <v>28</v>
      </c>
      <c r="D4" s="6" t="s">
        <v>5</v>
      </c>
      <c r="E4" s="3" t="s">
        <v>6</v>
      </c>
      <c r="F4" s="4" t="s">
        <v>12</v>
      </c>
      <c r="G4" s="5" t="s">
        <v>6</v>
      </c>
      <c r="H4" s="7"/>
      <c r="I4" s="7"/>
      <c r="J4" s="7"/>
      <c r="K4" s="7"/>
      <c r="L4" s="7"/>
      <c r="M4" s="7" t="s">
        <v>13</v>
      </c>
      <c r="N4" s="7"/>
      <c r="O4" s="7"/>
      <c r="P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</row>
    <row r="5" s="2" customFormat="1" spans="1:91">
      <c r="A5" s="3">
        <v>153</v>
      </c>
      <c r="B5" s="4">
        <v>110</v>
      </c>
      <c r="C5" s="5">
        <v>24</v>
      </c>
      <c r="D5" s="6" t="s">
        <v>5</v>
      </c>
      <c r="E5" s="3" t="s">
        <v>6</v>
      </c>
      <c r="F5" s="4" t="s">
        <v>12</v>
      </c>
      <c r="G5" s="5" t="s">
        <v>6</v>
      </c>
      <c r="H5" s="7"/>
      <c r="I5" s="15" t="s">
        <v>14</v>
      </c>
      <c r="J5" s="15"/>
      <c r="K5" s="16"/>
      <c r="L5" s="17" t="s">
        <v>0</v>
      </c>
      <c r="M5" s="17" t="s">
        <v>15</v>
      </c>
      <c r="N5" s="17" t="s">
        <v>16</v>
      </c>
      <c r="O5" s="17" t="s">
        <v>17</v>
      </c>
      <c r="P5" s="16"/>
      <c r="Q5" s="18" t="s">
        <v>1</v>
      </c>
      <c r="R5" s="18" t="s">
        <v>15</v>
      </c>
      <c r="S5" s="18" t="s">
        <v>16</v>
      </c>
      <c r="T5" s="18" t="s">
        <v>17</v>
      </c>
      <c r="U5" s="20"/>
      <c r="V5" s="19" t="s">
        <v>2</v>
      </c>
      <c r="W5" s="19" t="s">
        <v>15</v>
      </c>
      <c r="X5" s="19" t="s">
        <v>16</v>
      </c>
      <c r="Y5" s="19" t="s">
        <v>17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</row>
    <row r="6" s="2" customFormat="1" spans="1:91">
      <c r="A6" s="3">
        <v>123</v>
      </c>
      <c r="B6" s="4">
        <v>96</v>
      </c>
      <c r="C6" s="5">
        <v>23</v>
      </c>
      <c r="D6" s="6" t="s">
        <v>5</v>
      </c>
      <c r="E6" s="3" t="s">
        <v>6</v>
      </c>
      <c r="F6" s="4" t="s">
        <v>12</v>
      </c>
      <c r="G6" s="5" t="s">
        <v>6</v>
      </c>
      <c r="H6" s="7"/>
      <c r="I6" s="17" t="s">
        <v>0</v>
      </c>
      <c r="J6" s="17">
        <v>100</v>
      </c>
      <c r="K6" s="16"/>
      <c r="L6" s="17" t="s">
        <v>10</v>
      </c>
      <c r="M6" s="17">
        <v>0</v>
      </c>
      <c r="N6" s="17">
        <v>16</v>
      </c>
      <c r="O6" s="17">
        <v>22</v>
      </c>
      <c r="P6" s="16"/>
      <c r="Q6" s="18" t="s">
        <v>10</v>
      </c>
      <c r="R6" s="18">
        <v>26</v>
      </c>
      <c r="S6" s="18">
        <v>18</v>
      </c>
      <c r="T6" s="18">
        <v>5</v>
      </c>
      <c r="U6" s="20"/>
      <c r="V6" s="19" t="s">
        <v>10</v>
      </c>
      <c r="W6" s="19">
        <v>2</v>
      </c>
      <c r="X6" s="19">
        <v>25</v>
      </c>
      <c r="Y6" s="19">
        <v>17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</row>
    <row r="7" s="2" customFormat="1" spans="1:91">
      <c r="A7" s="3">
        <v>127</v>
      </c>
      <c r="B7" s="4">
        <v>107</v>
      </c>
      <c r="C7" s="5">
        <v>40</v>
      </c>
      <c r="D7" s="6" t="s">
        <v>5</v>
      </c>
      <c r="E7" s="3" t="s">
        <v>6</v>
      </c>
      <c r="F7" s="4" t="s">
        <v>12</v>
      </c>
      <c r="G7" s="5" t="s">
        <v>6</v>
      </c>
      <c r="H7" s="7"/>
      <c r="I7" s="18" t="s">
        <v>1</v>
      </c>
      <c r="J7" s="18">
        <v>110</v>
      </c>
      <c r="K7" s="16"/>
      <c r="L7" s="17" t="s">
        <v>11</v>
      </c>
      <c r="M7" s="17">
        <v>30</v>
      </c>
      <c r="N7" s="17">
        <v>14</v>
      </c>
      <c r="O7" s="17">
        <v>8</v>
      </c>
      <c r="P7" s="16"/>
      <c r="Q7" s="18" t="s">
        <v>11</v>
      </c>
      <c r="R7" s="18">
        <v>4</v>
      </c>
      <c r="S7" s="18">
        <v>12</v>
      </c>
      <c r="T7" s="18">
        <v>25</v>
      </c>
      <c r="U7" s="20"/>
      <c r="V7" s="19" t="s">
        <v>11</v>
      </c>
      <c r="W7" s="19">
        <v>28</v>
      </c>
      <c r="X7" s="19">
        <v>5</v>
      </c>
      <c r="Y7" s="19">
        <v>13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</row>
    <row r="8" s="2" customFormat="1" spans="1:25">
      <c r="A8" s="3">
        <v>109</v>
      </c>
      <c r="B8" s="4">
        <v>92</v>
      </c>
      <c r="C8" s="5">
        <v>72</v>
      </c>
      <c r="D8" s="6" t="s">
        <v>5</v>
      </c>
      <c r="E8" s="3" t="s">
        <v>6</v>
      </c>
      <c r="F8" s="4" t="s">
        <v>12</v>
      </c>
      <c r="G8" s="5" t="s">
        <v>6</v>
      </c>
      <c r="I8" s="19" t="s">
        <v>2</v>
      </c>
      <c r="J8" s="19">
        <v>20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 s="2" customFormat="1" spans="1:25">
      <c r="A9" s="3">
        <v>112</v>
      </c>
      <c r="B9" s="4">
        <v>100</v>
      </c>
      <c r="C9" s="5">
        <v>44</v>
      </c>
      <c r="D9" s="6" t="s">
        <v>5</v>
      </c>
      <c r="E9" s="3" t="s">
        <v>6</v>
      </c>
      <c r="F9" s="4" t="s">
        <v>12</v>
      </c>
      <c r="G9" s="5" t="s">
        <v>6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="2" customFormat="1" spans="1:16">
      <c r="A10" s="3">
        <v>116</v>
      </c>
      <c r="B10" s="4">
        <v>106</v>
      </c>
      <c r="C10" s="5">
        <v>56</v>
      </c>
      <c r="D10" s="6" t="s">
        <v>5</v>
      </c>
      <c r="E10" s="3" t="s">
        <v>6</v>
      </c>
      <c r="F10" s="4" t="s">
        <v>12</v>
      </c>
      <c r="G10" s="5" t="s">
        <v>6</v>
      </c>
      <c r="I10" s="21" t="s">
        <v>18</v>
      </c>
      <c r="J10" s="21" t="s">
        <v>19</v>
      </c>
      <c r="K10" s="21" t="s">
        <v>20</v>
      </c>
      <c r="L10" s="7"/>
      <c r="M10" s="7"/>
      <c r="N10" s="7"/>
      <c r="O10" s="7"/>
      <c r="P10" s="7"/>
    </row>
    <row r="11" s="2" customFormat="1" spans="1:16">
      <c r="A11" s="3">
        <v>104</v>
      </c>
      <c r="B11" s="4">
        <v>90</v>
      </c>
      <c r="C11" s="5">
        <v>42</v>
      </c>
      <c r="D11" s="6" t="s">
        <v>5</v>
      </c>
      <c r="E11" s="3" t="s">
        <v>6</v>
      </c>
      <c r="F11" s="4" t="s">
        <v>12</v>
      </c>
      <c r="G11" s="5" t="s">
        <v>6</v>
      </c>
      <c r="I11" s="11">
        <v>1</v>
      </c>
      <c r="J11" s="11" t="s">
        <v>21</v>
      </c>
      <c r="K11" s="11" t="s">
        <v>7</v>
      </c>
      <c r="L11" s="7"/>
      <c r="M11" s="7"/>
      <c r="N11" s="7"/>
      <c r="O11" s="7"/>
      <c r="P11" s="7"/>
    </row>
    <row r="12" s="2" customFormat="1" spans="1:16">
      <c r="A12" s="3">
        <v>122</v>
      </c>
      <c r="B12" s="4">
        <v>88</v>
      </c>
      <c r="C12" s="5">
        <v>38</v>
      </c>
      <c r="D12" s="6" t="s">
        <v>5</v>
      </c>
      <c r="E12" s="3" t="s">
        <v>6</v>
      </c>
      <c r="F12" s="4" t="s">
        <v>12</v>
      </c>
      <c r="G12" s="5" t="s">
        <v>6</v>
      </c>
      <c r="I12" s="11">
        <v>2</v>
      </c>
      <c r="J12" s="11" t="s">
        <v>22</v>
      </c>
      <c r="K12" s="11"/>
      <c r="L12" s="7"/>
      <c r="M12" s="7"/>
      <c r="N12" s="7"/>
      <c r="O12" s="7"/>
      <c r="P12" s="7"/>
    </row>
    <row r="13" s="2" customFormat="1" spans="1:16">
      <c r="A13" s="3">
        <v>116</v>
      </c>
      <c r="B13" s="4">
        <v>108</v>
      </c>
      <c r="C13" s="5">
        <v>56</v>
      </c>
      <c r="D13" s="6" t="s">
        <v>5</v>
      </c>
      <c r="E13" s="3" t="s">
        <v>6</v>
      </c>
      <c r="F13" s="4" t="s">
        <v>12</v>
      </c>
      <c r="G13" s="5" t="s">
        <v>6</v>
      </c>
      <c r="I13" s="11">
        <v>3</v>
      </c>
      <c r="J13" s="11" t="s">
        <v>23</v>
      </c>
      <c r="K13" s="11" t="s">
        <v>8</v>
      </c>
      <c r="L13" s="7"/>
      <c r="M13" s="7"/>
      <c r="N13" s="7"/>
      <c r="O13" s="7"/>
      <c r="P13" s="7"/>
    </row>
    <row r="14" s="2" customFormat="1" spans="1:16">
      <c r="A14" s="3">
        <v>126</v>
      </c>
      <c r="B14" s="4">
        <v>89</v>
      </c>
      <c r="C14" s="5">
        <v>39</v>
      </c>
      <c r="D14" s="6" t="s">
        <v>5</v>
      </c>
      <c r="E14" s="3" t="s">
        <v>6</v>
      </c>
      <c r="F14" s="4" t="s">
        <v>12</v>
      </c>
      <c r="G14" s="5" t="s">
        <v>6</v>
      </c>
      <c r="I14" s="11">
        <v>4</v>
      </c>
      <c r="J14" s="11" t="s">
        <v>24</v>
      </c>
      <c r="K14" s="11"/>
      <c r="L14" s="7"/>
      <c r="M14" s="7"/>
      <c r="N14" s="7"/>
      <c r="O14" s="7"/>
      <c r="P14" s="7"/>
    </row>
    <row r="15" s="2" customFormat="1" spans="1:16">
      <c r="A15" s="3">
        <v>119</v>
      </c>
      <c r="B15" s="4">
        <v>109</v>
      </c>
      <c r="C15" s="5">
        <v>34</v>
      </c>
      <c r="D15" s="6" t="s">
        <v>5</v>
      </c>
      <c r="E15" s="3" t="s">
        <v>6</v>
      </c>
      <c r="F15" s="4" t="s">
        <v>12</v>
      </c>
      <c r="G15" s="5" t="s">
        <v>6</v>
      </c>
      <c r="I15" s="11">
        <v>5</v>
      </c>
      <c r="J15" s="11" t="s">
        <v>25</v>
      </c>
      <c r="K15" s="11" t="s">
        <v>7</v>
      </c>
      <c r="L15" s="7"/>
      <c r="M15" s="7"/>
      <c r="N15" s="7"/>
      <c r="O15" s="7"/>
      <c r="P15" s="7"/>
    </row>
    <row r="16" s="2" customFormat="1" spans="1:16">
      <c r="A16" s="3">
        <v>123</v>
      </c>
      <c r="B16" s="4">
        <v>91</v>
      </c>
      <c r="C16" s="5">
        <v>38</v>
      </c>
      <c r="D16" s="6" t="s">
        <v>5</v>
      </c>
      <c r="E16" s="3" t="s">
        <v>6</v>
      </c>
      <c r="F16" s="4" t="s">
        <v>12</v>
      </c>
      <c r="G16" s="5" t="s">
        <v>6</v>
      </c>
      <c r="I16" s="11">
        <v>6</v>
      </c>
      <c r="J16" s="11" t="s">
        <v>26</v>
      </c>
      <c r="K16" s="11" t="s">
        <v>5</v>
      </c>
      <c r="L16" s="7"/>
      <c r="M16" s="7"/>
      <c r="N16" s="7"/>
      <c r="O16" s="7"/>
      <c r="P16" s="7"/>
    </row>
    <row r="17" s="2" customFormat="1" spans="1:7">
      <c r="A17" s="3">
        <v>174</v>
      </c>
      <c r="B17" s="4">
        <v>162</v>
      </c>
      <c r="C17" s="5">
        <v>102</v>
      </c>
      <c r="D17" s="6" t="s">
        <v>5</v>
      </c>
      <c r="E17" s="3" t="s">
        <v>6</v>
      </c>
      <c r="F17" s="4" t="s">
        <v>6</v>
      </c>
      <c r="G17" s="5" t="s">
        <v>6</v>
      </c>
    </row>
    <row r="18" s="2" customFormat="1" spans="1:16">
      <c r="A18" s="3">
        <v>102</v>
      </c>
      <c r="B18" s="4">
        <v>79</v>
      </c>
      <c r="C18" s="5">
        <v>22</v>
      </c>
      <c r="D18" s="6" t="s">
        <v>5</v>
      </c>
      <c r="E18" s="3" t="s">
        <v>6</v>
      </c>
      <c r="F18" s="4" t="s">
        <v>12</v>
      </c>
      <c r="G18" s="5" t="s">
        <v>6</v>
      </c>
      <c r="I18" s="15"/>
      <c r="J18" s="15"/>
      <c r="K18" s="15"/>
      <c r="L18" s="15" t="s">
        <v>27</v>
      </c>
      <c r="M18" s="15" t="s">
        <v>15</v>
      </c>
      <c r="N18" s="15" t="s">
        <v>16</v>
      </c>
      <c r="O18" s="15" t="s">
        <v>17</v>
      </c>
      <c r="P18" s="15" t="s">
        <v>28</v>
      </c>
    </row>
    <row r="19" s="2" customFormat="1" spans="1:16">
      <c r="A19" s="3">
        <v>125</v>
      </c>
      <c r="B19" s="4">
        <v>105</v>
      </c>
      <c r="C19" s="5">
        <v>46</v>
      </c>
      <c r="D19" s="6" t="s">
        <v>5</v>
      </c>
      <c r="E19" s="3" t="s">
        <v>6</v>
      </c>
      <c r="F19" s="4" t="s">
        <v>12</v>
      </c>
      <c r="G19" s="5" t="s">
        <v>6</v>
      </c>
      <c r="I19" s="22" t="s">
        <v>0</v>
      </c>
      <c r="J19" s="23" t="s">
        <v>29</v>
      </c>
      <c r="K19" s="23">
        <f>COUNTIF(A2:A91,"&lt;=100")</f>
        <v>38</v>
      </c>
      <c r="L19" s="23">
        <f>K19/L3</f>
        <v>0.422222222222222</v>
      </c>
      <c r="M19" s="23">
        <f>M6/K19</f>
        <v>0</v>
      </c>
      <c r="N19" s="23">
        <f>N6/K19</f>
        <v>0.421052631578947</v>
      </c>
      <c r="O19" s="23">
        <f>O6/K19</f>
        <v>0.578947368421053</v>
      </c>
      <c r="P19" s="23">
        <f t="shared" ref="P19:P23" si="0">-(IF(M19=0,0,M19*LOG(M19,2))+IF(N19=0,0,N19*LOG(N19,2))+IF(O19=0,0,O19*LOG(O19,2)))</f>
        <v>0.981940786864098</v>
      </c>
    </row>
    <row r="20" s="2" customFormat="1" spans="1:16">
      <c r="A20" s="3">
        <v>112</v>
      </c>
      <c r="B20" s="4">
        <v>89</v>
      </c>
      <c r="C20" s="5">
        <v>22</v>
      </c>
      <c r="D20" s="6" t="s">
        <v>5</v>
      </c>
      <c r="E20" s="3" t="s">
        <v>6</v>
      </c>
      <c r="F20" s="4" t="s">
        <v>12</v>
      </c>
      <c r="G20" s="5" t="s">
        <v>6</v>
      </c>
      <c r="I20" s="22"/>
      <c r="J20" s="23" t="s">
        <v>30</v>
      </c>
      <c r="K20" s="23">
        <f>COUNTIF(A2:A91,"&gt;=101")</f>
        <v>52</v>
      </c>
      <c r="L20" s="23">
        <f>K20/L3</f>
        <v>0.577777777777778</v>
      </c>
      <c r="M20" s="23">
        <f>M7/K20</f>
        <v>0.576923076923077</v>
      </c>
      <c r="N20" s="23">
        <f>N7/K20</f>
        <v>0.269230769230769</v>
      </c>
      <c r="O20" s="23">
        <f>O7/K20</f>
        <v>0.153846153846154</v>
      </c>
      <c r="P20" s="23">
        <f t="shared" si="0"/>
        <v>1.38294574165913</v>
      </c>
    </row>
    <row r="21" s="2" customFormat="1" spans="1:16">
      <c r="A21" s="3">
        <v>120</v>
      </c>
      <c r="B21" s="4">
        <v>104</v>
      </c>
      <c r="C21" s="5">
        <v>46</v>
      </c>
      <c r="D21" s="6" t="s">
        <v>5</v>
      </c>
      <c r="E21" s="3" t="s">
        <v>6</v>
      </c>
      <c r="F21" s="4" t="s">
        <v>12</v>
      </c>
      <c r="G21" s="5" t="s">
        <v>6</v>
      </c>
      <c r="I21" s="24"/>
      <c r="J21" s="15"/>
      <c r="K21" s="15"/>
      <c r="L21" s="15" t="s">
        <v>13</v>
      </c>
      <c r="M21" s="15"/>
      <c r="N21" s="15"/>
      <c r="O21" s="15"/>
      <c r="P21" s="15"/>
    </row>
    <row r="22" s="2" customFormat="1" spans="1:16">
      <c r="A22" s="3">
        <v>130</v>
      </c>
      <c r="B22" s="4">
        <v>95</v>
      </c>
      <c r="C22" s="5">
        <v>14</v>
      </c>
      <c r="D22" s="6" t="s">
        <v>5</v>
      </c>
      <c r="E22" s="3" t="s">
        <v>6</v>
      </c>
      <c r="F22" s="4" t="s">
        <v>12</v>
      </c>
      <c r="G22" s="5" t="s">
        <v>12</v>
      </c>
      <c r="I22" s="25" t="s">
        <v>1</v>
      </c>
      <c r="J22" s="18" t="s">
        <v>31</v>
      </c>
      <c r="K22" s="18">
        <f>COUNTIF(B2:B91,"&lt;=110")</f>
        <v>49</v>
      </c>
      <c r="L22" s="18">
        <f>K22/L3</f>
        <v>0.544444444444444</v>
      </c>
      <c r="M22" s="18">
        <f>R6/K22</f>
        <v>0.530612244897959</v>
      </c>
      <c r="N22" s="18">
        <f>S6/K22</f>
        <v>0.36734693877551</v>
      </c>
      <c r="O22" s="18">
        <f>T6/K22</f>
        <v>0.102040816326531</v>
      </c>
      <c r="P22" s="18">
        <f t="shared" si="0"/>
        <v>1.35185835080772</v>
      </c>
    </row>
    <row r="23" s="2" customFormat="1" spans="1:16">
      <c r="A23" s="3">
        <v>107</v>
      </c>
      <c r="B23" s="4">
        <v>81</v>
      </c>
      <c r="C23" s="5">
        <v>52</v>
      </c>
      <c r="D23" s="6" t="s">
        <v>5</v>
      </c>
      <c r="E23" s="3" t="s">
        <v>6</v>
      </c>
      <c r="F23" s="4" t="s">
        <v>12</v>
      </c>
      <c r="G23" s="5" t="s">
        <v>6</v>
      </c>
      <c r="I23" s="25"/>
      <c r="J23" s="18" t="s">
        <v>32</v>
      </c>
      <c r="K23" s="18">
        <f>COUNTIF(B2:B91,"&gt;=110")</f>
        <v>43</v>
      </c>
      <c r="L23" s="18">
        <f>K23/L3</f>
        <v>0.477777777777778</v>
      </c>
      <c r="M23" s="18">
        <f>R7/K23</f>
        <v>0.0930232558139535</v>
      </c>
      <c r="N23" s="18">
        <f>S7/K23</f>
        <v>0.27906976744186</v>
      </c>
      <c r="O23" s="18">
        <f>T7/K23</f>
        <v>0.581395348837209</v>
      </c>
      <c r="P23" s="18">
        <f t="shared" si="0"/>
        <v>1.28746279511079</v>
      </c>
    </row>
    <row r="24" s="2" customFormat="1" spans="1:16">
      <c r="A24" s="3">
        <v>156</v>
      </c>
      <c r="B24" s="4">
        <v>152</v>
      </c>
      <c r="C24" s="5">
        <v>96</v>
      </c>
      <c r="D24" s="6" t="s">
        <v>5</v>
      </c>
      <c r="E24" s="3" t="s">
        <v>6</v>
      </c>
      <c r="F24" s="4" t="s">
        <v>6</v>
      </c>
      <c r="G24" s="5" t="s">
        <v>6</v>
      </c>
      <c r="I24" s="24"/>
      <c r="J24" s="15"/>
      <c r="K24" s="15"/>
      <c r="L24" s="15"/>
      <c r="M24" s="15"/>
      <c r="N24" s="15"/>
      <c r="O24" s="15"/>
      <c r="P24" s="15"/>
    </row>
    <row r="25" s="2" customFormat="1" spans="1:16">
      <c r="A25" s="3">
        <v>107</v>
      </c>
      <c r="B25" s="4">
        <v>62</v>
      </c>
      <c r="C25" s="5">
        <v>15</v>
      </c>
      <c r="D25" s="6" t="s">
        <v>5</v>
      </c>
      <c r="E25" s="3" t="s">
        <v>6</v>
      </c>
      <c r="F25" s="4" t="s">
        <v>12</v>
      </c>
      <c r="G25" s="5" t="s">
        <v>12</v>
      </c>
      <c r="I25" s="26" t="s">
        <v>2</v>
      </c>
      <c r="J25" s="27" t="s">
        <v>33</v>
      </c>
      <c r="K25" s="27">
        <f>COUNTIF(C2:C91,"&lt;=20")</f>
        <v>44</v>
      </c>
      <c r="L25" s="27">
        <f>K25/L3</f>
        <v>0.488888888888889</v>
      </c>
      <c r="M25" s="27">
        <f>W6/K25</f>
        <v>0.0454545454545455</v>
      </c>
      <c r="N25" s="27">
        <f>X6/K25</f>
        <v>0.568181818181818</v>
      </c>
      <c r="O25" s="27">
        <f>Y6/K25</f>
        <v>0.386363636363636</v>
      </c>
      <c r="P25" s="27">
        <f>-(IF(M25=0,0,M25*LOG(M25,2))+IF(N25=0,0,N25*LOG(N25,2))+IF(O25=0,0,O25*LOG(O25,2)))</f>
        <v>1.19617541305494</v>
      </c>
    </row>
    <row r="26" s="2" customFormat="1" spans="1:16">
      <c r="A26" s="3">
        <v>104</v>
      </c>
      <c r="B26" s="4">
        <v>82</v>
      </c>
      <c r="C26" s="5">
        <v>40</v>
      </c>
      <c r="D26" s="6" t="s">
        <v>5</v>
      </c>
      <c r="E26" s="3" t="s">
        <v>6</v>
      </c>
      <c r="F26" s="4" t="s">
        <v>12</v>
      </c>
      <c r="G26" s="5" t="s">
        <v>6</v>
      </c>
      <c r="I26" s="26"/>
      <c r="J26" s="27" t="s">
        <v>34</v>
      </c>
      <c r="K26" s="27">
        <f>COUNTIF(C2:C91,"&gt;=20")</f>
        <v>50</v>
      </c>
      <c r="L26" s="27">
        <f>K26/L3</f>
        <v>0.555555555555556</v>
      </c>
      <c r="M26" s="27">
        <f>W7/K26</f>
        <v>0.56</v>
      </c>
      <c r="N26" s="27">
        <f>X7/K26</f>
        <v>0.1</v>
      </c>
      <c r="O26" s="27">
        <f>Y7/K26</f>
        <v>0.26</v>
      </c>
      <c r="P26" s="27">
        <f>-(IF(M26=0,0,M26*LOG(M26,2))+IF(N26=0,0,N26*LOG(N26,2))+IF(O26=0,0,O26*LOG(O26,2)))</f>
        <v>1.30592180203507</v>
      </c>
    </row>
    <row r="27" s="2" customFormat="1" spans="1:16">
      <c r="A27" s="3">
        <v>110</v>
      </c>
      <c r="B27" s="4">
        <v>86</v>
      </c>
      <c r="C27" s="5">
        <v>35</v>
      </c>
      <c r="D27" s="6" t="s">
        <v>5</v>
      </c>
      <c r="E27" s="3" t="s">
        <v>6</v>
      </c>
      <c r="F27" s="4" t="s">
        <v>12</v>
      </c>
      <c r="G27" s="5" t="s">
        <v>6</v>
      </c>
      <c r="I27" s="15"/>
      <c r="J27" s="15"/>
      <c r="K27" s="15"/>
      <c r="L27" s="15"/>
      <c r="M27" s="15"/>
      <c r="N27" s="15"/>
      <c r="O27" s="15" t="s">
        <v>35</v>
      </c>
      <c r="P27" s="15">
        <f>SUM(P19:P26)</f>
        <v>7.50630488953175</v>
      </c>
    </row>
    <row r="28" s="2" customFormat="1" spans="1:16">
      <c r="A28" s="3">
        <v>175</v>
      </c>
      <c r="B28" s="4">
        <v>152</v>
      </c>
      <c r="C28" s="5">
        <v>110</v>
      </c>
      <c r="D28" s="6" t="s">
        <v>5</v>
      </c>
      <c r="E28" s="3" t="s">
        <v>6</v>
      </c>
      <c r="F28" s="4" t="s">
        <v>6</v>
      </c>
      <c r="G28" s="5" t="s">
        <v>6</v>
      </c>
      <c r="I28" s="20"/>
      <c r="J28" s="20"/>
      <c r="K28" s="20"/>
      <c r="L28" s="20"/>
      <c r="M28" s="20"/>
      <c r="N28" s="20"/>
      <c r="O28" s="20"/>
      <c r="P28" s="20"/>
    </row>
    <row r="29" s="2" customFormat="1" spans="1:16">
      <c r="A29" s="3">
        <v>111</v>
      </c>
      <c r="B29" s="4">
        <v>88</v>
      </c>
      <c r="C29" s="5">
        <v>42</v>
      </c>
      <c r="D29" s="6" t="s">
        <v>5</v>
      </c>
      <c r="E29" s="3" t="s">
        <v>6</v>
      </c>
      <c r="F29" s="4" t="s">
        <v>12</v>
      </c>
      <c r="G29" s="5" t="s">
        <v>6</v>
      </c>
      <c r="I29" s="20"/>
      <c r="J29" s="20" t="s">
        <v>36</v>
      </c>
      <c r="K29" s="20" t="s">
        <v>37</v>
      </c>
      <c r="L29" s="20"/>
      <c r="M29" s="20"/>
      <c r="N29" s="20"/>
      <c r="O29" s="20"/>
      <c r="P29" s="20"/>
    </row>
    <row r="30" s="2" customFormat="1" spans="1:16">
      <c r="A30" s="3">
        <v>132</v>
      </c>
      <c r="B30" s="4">
        <v>106</v>
      </c>
      <c r="C30" s="5">
        <v>46</v>
      </c>
      <c r="D30" s="6" t="s">
        <v>5</v>
      </c>
      <c r="E30" s="3" t="s">
        <v>6</v>
      </c>
      <c r="F30" s="4" t="s">
        <v>12</v>
      </c>
      <c r="G30" s="5" t="s">
        <v>6</v>
      </c>
      <c r="I30" s="28" t="s">
        <v>0</v>
      </c>
      <c r="J30" s="28">
        <f>SUMPRODUCT(L19:L20,P19:P20)</f>
        <v>1.21363253852345</v>
      </c>
      <c r="K30" s="28">
        <f>P27-J30</f>
        <v>6.2926723510083</v>
      </c>
      <c r="L30" s="20"/>
      <c r="M30" s="20"/>
      <c r="N30" s="20"/>
      <c r="O30" s="20"/>
      <c r="P30" s="20"/>
    </row>
    <row r="31" s="2" customFormat="1" spans="1:16">
      <c r="A31" s="3">
        <v>115</v>
      </c>
      <c r="B31" s="4">
        <v>102</v>
      </c>
      <c r="C31" s="5">
        <v>24</v>
      </c>
      <c r="D31" s="6" t="s">
        <v>5</v>
      </c>
      <c r="E31" s="3" t="s">
        <v>6</v>
      </c>
      <c r="F31" s="4" t="s">
        <v>12</v>
      </c>
      <c r="G31" s="5" t="s">
        <v>6</v>
      </c>
      <c r="I31" s="29" t="s">
        <v>1</v>
      </c>
      <c r="J31" s="29">
        <f>SUMPRODUCT(L22:L23,P22:P23)</f>
        <v>1.35113288199269</v>
      </c>
      <c r="K31" s="29">
        <f>P27-J31</f>
        <v>6.15517200753905</v>
      </c>
      <c r="L31" s="20"/>
      <c r="M31" s="20"/>
      <c r="N31" s="20"/>
      <c r="O31" s="20"/>
      <c r="P31" s="20"/>
    </row>
    <row r="32" s="2" customFormat="1" spans="1:16">
      <c r="A32" s="3">
        <v>110</v>
      </c>
      <c r="B32" s="4">
        <v>115</v>
      </c>
      <c r="C32" s="5">
        <v>19</v>
      </c>
      <c r="D32" s="6" t="s">
        <v>7</v>
      </c>
      <c r="E32" s="3" t="s">
        <v>6</v>
      </c>
      <c r="F32" s="4" t="s">
        <v>6</v>
      </c>
      <c r="G32" s="5" t="s">
        <v>12</v>
      </c>
      <c r="I32" s="30" t="s">
        <v>2</v>
      </c>
      <c r="J32" s="30">
        <f>SUMPRODUCT(L25:L26,P25:P26)</f>
        <v>1.31030898084634</v>
      </c>
      <c r="K32" s="30">
        <f>P27-J32</f>
        <v>6.19599590868541</v>
      </c>
      <c r="L32" s="20"/>
      <c r="M32" s="20"/>
      <c r="N32" s="20"/>
      <c r="O32" s="20"/>
      <c r="P32" s="20"/>
    </row>
    <row r="33" s="2" customFormat="1" spans="1:7">
      <c r="A33" s="3">
        <v>116</v>
      </c>
      <c r="B33" s="4">
        <v>118</v>
      </c>
      <c r="C33" s="5">
        <v>13</v>
      </c>
      <c r="D33" s="6" t="s">
        <v>7</v>
      </c>
      <c r="E33" s="3" t="s">
        <v>6</v>
      </c>
      <c r="F33" s="4" t="s">
        <v>6</v>
      </c>
      <c r="G33" s="5" t="s">
        <v>12</v>
      </c>
    </row>
    <row r="34" s="2" customFormat="1" spans="1:7">
      <c r="A34" s="3">
        <v>20</v>
      </c>
      <c r="B34" s="4">
        <v>39</v>
      </c>
      <c r="C34" s="5">
        <v>0</v>
      </c>
      <c r="D34" s="6" t="s">
        <v>7</v>
      </c>
      <c r="E34" s="3" t="s">
        <v>12</v>
      </c>
      <c r="F34" s="4" t="s">
        <v>12</v>
      </c>
      <c r="G34" s="5" t="s">
        <v>12</v>
      </c>
    </row>
    <row r="35" s="2" customFormat="1" spans="1:7">
      <c r="A35" s="3">
        <v>108</v>
      </c>
      <c r="B35" s="4">
        <v>154</v>
      </c>
      <c r="C35" s="5">
        <v>14</v>
      </c>
      <c r="D35" s="6" t="s">
        <v>7</v>
      </c>
      <c r="E35" s="3" t="s">
        <v>6</v>
      </c>
      <c r="F35" s="4" t="s">
        <v>6</v>
      </c>
      <c r="G35" s="5" t="s">
        <v>12</v>
      </c>
    </row>
    <row r="36" s="2" customFormat="1" spans="1:7">
      <c r="A36" s="3">
        <v>93</v>
      </c>
      <c r="B36" s="4">
        <v>102</v>
      </c>
      <c r="C36" s="5">
        <v>27</v>
      </c>
      <c r="D36" s="6" t="s">
        <v>7</v>
      </c>
      <c r="E36" s="3" t="s">
        <v>12</v>
      </c>
      <c r="F36" s="4" t="s">
        <v>12</v>
      </c>
      <c r="G36" s="5" t="s">
        <v>6</v>
      </c>
    </row>
    <row r="37" s="2" customFormat="1" spans="1:7">
      <c r="A37" s="3">
        <v>58</v>
      </c>
      <c r="B37" s="4">
        <v>134</v>
      </c>
      <c r="C37" s="5">
        <v>4</v>
      </c>
      <c r="D37" s="6" t="s">
        <v>7</v>
      </c>
      <c r="E37" s="3" t="s">
        <v>12</v>
      </c>
      <c r="F37" s="4" t="s">
        <v>6</v>
      </c>
      <c r="G37" s="5" t="s">
        <v>12</v>
      </c>
    </row>
    <row r="38" s="2" customFormat="1" spans="1:7">
      <c r="A38" s="3">
        <v>121</v>
      </c>
      <c r="B38" s="4">
        <v>152</v>
      </c>
      <c r="C38" s="5">
        <v>16</v>
      </c>
      <c r="D38" s="6" t="s">
        <v>7</v>
      </c>
      <c r="E38" s="3" t="s">
        <v>6</v>
      </c>
      <c r="F38" s="4" t="s">
        <v>6</v>
      </c>
      <c r="G38" s="5" t="s">
        <v>12</v>
      </c>
    </row>
    <row r="39" s="2" customFormat="1" spans="1:7">
      <c r="A39" s="3">
        <v>78</v>
      </c>
      <c r="B39" s="4">
        <v>72</v>
      </c>
      <c r="C39" s="5">
        <v>0</v>
      </c>
      <c r="D39" s="6" t="s">
        <v>7</v>
      </c>
      <c r="E39" s="3" t="s">
        <v>12</v>
      </c>
      <c r="F39" s="4" t="s">
        <v>12</v>
      </c>
      <c r="G39" s="5" t="s">
        <v>12</v>
      </c>
    </row>
    <row r="40" s="2" customFormat="1" spans="1:7">
      <c r="A40" s="3">
        <v>113</v>
      </c>
      <c r="B40" s="4">
        <v>116</v>
      </c>
      <c r="C40" s="5">
        <v>20</v>
      </c>
      <c r="D40" s="6" t="s">
        <v>7</v>
      </c>
      <c r="E40" s="3" t="s">
        <v>6</v>
      </c>
      <c r="F40" s="4" t="s">
        <v>6</v>
      </c>
      <c r="G40" s="5" t="s">
        <v>12</v>
      </c>
    </row>
    <row r="41" s="2" customFormat="1" spans="1:7">
      <c r="A41" s="3">
        <v>88</v>
      </c>
      <c r="B41" s="4">
        <v>110</v>
      </c>
      <c r="C41" s="5">
        <v>20</v>
      </c>
      <c r="D41" s="6" t="s">
        <v>7</v>
      </c>
      <c r="E41" s="3" t="s">
        <v>12</v>
      </c>
      <c r="F41" s="4" t="s">
        <v>12</v>
      </c>
      <c r="G41" s="5" t="s">
        <v>12</v>
      </c>
    </row>
    <row r="42" s="2" customFormat="1" spans="1:7">
      <c r="A42" s="3">
        <v>100</v>
      </c>
      <c r="B42" s="4">
        <v>120</v>
      </c>
      <c r="C42" s="5">
        <v>20</v>
      </c>
      <c r="D42" s="6" t="s">
        <v>7</v>
      </c>
      <c r="E42" s="3" t="s">
        <v>12</v>
      </c>
      <c r="F42" s="4" t="s">
        <v>6</v>
      </c>
      <c r="G42" s="5" t="s">
        <v>12</v>
      </c>
    </row>
    <row r="43" s="2" customFormat="1" spans="1:7">
      <c r="A43" s="3">
        <v>141</v>
      </c>
      <c r="B43" s="4">
        <v>144</v>
      </c>
      <c r="C43" s="5">
        <v>64</v>
      </c>
      <c r="D43" s="6" t="s">
        <v>7</v>
      </c>
      <c r="E43" s="3" t="s">
        <v>6</v>
      </c>
      <c r="F43" s="4" t="s">
        <v>6</v>
      </c>
      <c r="G43" s="5" t="s">
        <v>6</v>
      </c>
    </row>
    <row r="44" s="2" customFormat="1" spans="1:7">
      <c r="A44" s="3">
        <v>57</v>
      </c>
      <c r="B44" s="4">
        <v>86</v>
      </c>
      <c r="C44" s="5">
        <v>2</v>
      </c>
      <c r="D44" s="6" t="s">
        <v>7</v>
      </c>
      <c r="E44" s="3" t="s">
        <v>12</v>
      </c>
      <c r="F44" s="4" t="s">
        <v>12</v>
      </c>
      <c r="G44" s="5" t="s">
        <v>12</v>
      </c>
    </row>
    <row r="45" s="2" customFormat="1" spans="1:7">
      <c r="A45" s="3">
        <v>107</v>
      </c>
      <c r="B45" s="4">
        <v>114</v>
      </c>
      <c r="C45" s="5">
        <v>7</v>
      </c>
      <c r="D45" s="6" t="s">
        <v>7</v>
      </c>
      <c r="E45" s="3" t="s">
        <v>6</v>
      </c>
      <c r="F45" s="4" t="s">
        <v>6</v>
      </c>
      <c r="G45" s="5" t="s">
        <v>12</v>
      </c>
    </row>
    <row r="46" s="2" customFormat="1" spans="1:7">
      <c r="A46" s="3">
        <v>101</v>
      </c>
      <c r="B46" s="4">
        <v>129</v>
      </c>
      <c r="C46" s="5">
        <v>20</v>
      </c>
      <c r="D46" s="6" t="s">
        <v>7</v>
      </c>
      <c r="E46" s="3" t="s">
        <v>6</v>
      </c>
      <c r="F46" s="4" t="s">
        <v>6</v>
      </c>
      <c r="G46" s="5" t="s">
        <v>12</v>
      </c>
    </row>
    <row r="47" s="2" customFormat="1" spans="1:7">
      <c r="A47" s="3">
        <v>76</v>
      </c>
      <c r="B47" s="4">
        <v>71</v>
      </c>
      <c r="C47" s="5">
        <v>15</v>
      </c>
      <c r="D47" s="6" t="s">
        <v>7</v>
      </c>
      <c r="E47" s="3" t="s">
        <v>12</v>
      </c>
      <c r="F47" s="4" t="s">
        <v>12</v>
      </c>
      <c r="G47" s="5" t="s">
        <v>12</v>
      </c>
    </row>
    <row r="48" s="2" customFormat="1" spans="1:7">
      <c r="A48" s="3">
        <v>87</v>
      </c>
      <c r="B48" s="4">
        <v>96</v>
      </c>
      <c r="C48" s="5">
        <v>0</v>
      </c>
      <c r="D48" s="6" t="s">
        <v>7</v>
      </c>
      <c r="E48" s="3" t="s">
        <v>12</v>
      </c>
      <c r="F48" s="4" t="s">
        <v>12</v>
      </c>
      <c r="G48" s="5" t="s">
        <v>12</v>
      </c>
    </row>
    <row r="49" s="2" customFormat="1" spans="1:7">
      <c r="A49" s="3">
        <v>115</v>
      </c>
      <c r="B49" s="4">
        <v>123</v>
      </c>
      <c r="C49" s="5">
        <v>2</v>
      </c>
      <c r="D49" s="6" t="s">
        <v>7</v>
      </c>
      <c r="E49" s="3" t="s">
        <v>6</v>
      </c>
      <c r="F49" s="4" t="s">
        <v>6</v>
      </c>
      <c r="G49" s="5" t="s">
        <v>12</v>
      </c>
    </row>
    <row r="50" s="2" customFormat="1" spans="1:7">
      <c r="A50" s="3">
        <v>75</v>
      </c>
      <c r="B50" s="4">
        <v>79</v>
      </c>
      <c r="C50" s="5">
        <v>2</v>
      </c>
      <c r="D50" s="6" t="s">
        <v>7</v>
      </c>
      <c r="E50" s="3" t="s">
        <v>12</v>
      </c>
      <c r="F50" s="4" t="s">
        <v>12</v>
      </c>
      <c r="G50" s="5" t="s">
        <v>12</v>
      </c>
    </row>
    <row r="51" s="2" customFormat="1" spans="1:7">
      <c r="A51" s="3">
        <v>74</v>
      </c>
      <c r="B51" s="4">
        <v>75</v>
      </c>
      <c r="C51" s="5">
        <v>12</v>
      </c>
      <c r="D51" s="6" t="s">
        <v>7</v>
      </c>
      <c r="E51" s="3" t="s">
        <v>12</v>
      </c>
      <c r="F51" s="4" t="s">
        <v>12</v>
      </c>
      <c r="G51" s="5" t="s">
        <v>12</v>
      </c>
    </row>
    <row r="52" s="2" customFormat="1" spans="1:7">
      <c r="A52" s="3">
        <v>115</v>
      </c>
      <c r="B52" s="4">
        <v>123</v>
      </c>
      <c r="C52" s="5">
        <v>2</v>
      </c>
      <c r="D52" s="6" t="s">
        <v>7</v>
      </c>
      <c r="E52" s="3" t="s">
        <v>6</v>
      </c>
      <c r="F52" s="4" t="s">
        <v>6</v>
      </c>
      <c r="G52" s="5" t="s">
        <v>12</v>
      </c>
    </row>
    <row r="53" s="2" customFormat="1" spans="1:7">
      <c r="A53" s="3">
        <v>75</v>
      </c>
      <c r="B53" s="4">
        <v>79</v>
      </c>
      <c r="C53" s="5">
        <v>2</v>
      </c>
      <c r="D53" s="6" t="s">
        <v>7</v>
      </c>
      <c r="E53" s="3" t="s">
        <v>12</v>
      </c>
      <c r="F53" s="4" t="s">
        <v>12</v>
      </c>
      <c r="G53" s="5" t="s">
        <v>12</v>
      </c>
    </row>
    <row r="54" s="2" customFormat="1" spans="1:7">
      <c r="A54" s="3">
        <v>104</v>
      </c>
      <c r="B54" s="4">
        <v>95</v>
      </c>
      <c r="C54" s="5">
        <v>8</v>
      </c>
      <c r="D54" s="6" t="s">
        <v>7</v>
      </c>
      <c r="E54" s="3" t="s">
        <v>6</v>
      </c>
      <c r="F54" s="4" t="s">
        <v>12</v>
      </c>
      <c r="G54" s="5" t="s">
        <v>12</v>
      </c>
    </row>
    <row r="55" s="2" customFormat="1" spans="1:7">
      <c r="A55" s="3">
        <v>70</v>
      </c>
      <c r="B55" s="4">
        <v>72</v>
      </c>
      <c r="C55" s="5">
        <v>5</v>
      </c>
      <c r="D55" s="6" t="s">
        <v>7</v>
      </c>
      <c r="E55" s="3" t="s">
        <v>12</v>
      </c>
      <c r="F55" s="4" t="s">
        <v>12</v>
      </c>
      <c r="G55" s="5" t="s">
        <v>12</v>
      </c>
    </row>
    <row r="56" s="2" customFormat="1" spans="1:7">
      <c r="A56" s="3">
        <v>101</v>
      </c>
      <c r="B56" s="4">
        <v>107</v>
      </c>
      <c r="C56" s="5">
        <v>15</v>
      </c>
      <c r="D56" s="6" t="s">
        <v>7</v>
      </c>
      <c r="E56" s="3" t="s">
        <v>6</v>
      </c>
      <c r="F56" s="4" t="s">
        <v>12</v>
      </c>
      <c r="G56" s="5" t="s">
        <v>12</v>
      </c>
    </row>
    <row r="57" s="2" customFormat="1" spans="1:7">
      <c r="A57" s="3">
        <v>93</v>
      </c>
      <c r="B57" s="4">
        <v>87</v>
      </c>
      <c r="C57" s="5">
        <v>6</v>
      </c>
      <c r="D57" s="6" t="s">
        <v>7</v>
      </c>
      <c r="E57" s="3" t="s">
        <v>12</v>
      </c>
      <c r="F57" s="4" t="s">
        <v>12</v>
      </c>
      <c r="G57" s="5" t="s">
        <v>12</v>
      </c>
    </row>
    <row r="58" s="2" customFormat="1" spans="1:7">
      <c r="A58" s="3">
        <v>81</v>
      </c>
      <c r="B58" s="4">
        <v>78</v>
      </c>
      <c r="C58" s="5">
        <v>7</v>
      </c>
      <c r="D58" s="6" t="s">
        <v>7</v>
      </c>
      <c r="E58" s="3" t="s">
        <v>12</v>
      </c>
      <c r="F58" s="4" t="s">
        <v>12</v>
      </c>
      <c r="G58" s="5" t="s">
        <v>12</v>
      </c>
    </row>
    <row r="59" s="2" customFormat="1" spans="1:7">
      <c r="A59" s="3">
        <v>81</v>
      </c>
      <c r="B59" s="4">
        <v>74</v>
      </c>
      <c r="C59" s="5">
        <v>26</v>
      </c>
      <c r="D59" s="6" t="s">
        <v>7</v>
      </c>
      <c r="E59" s="3" t="s">
        <v>12</v>
      </c>
      <c r="F59" s="4" t="s">
        <v>12</v>
      </c>
      <c r="G59" s="5" t="s">
        <v>6</v>
      </c>
    </row>
    <row r="60" s="2" customFormat="1" spans="1:7">
      <c r="A60" s="3">
        <v>103</v>
      </c>
      <c r="B60" s="4">
        <v>102</v>
      </c>
      <c r="C60" s="5">
        <v>33</v>
      </c>
      <c r="D60" s="6" t="s">
        <v>7</v>
      </c>
      <c r="E60" s="3" t="s">
        <v>6</v>
      </c>
      <c r="F60" s="4" t="s">
        <v>12</v>
      </c>
      <c r="G60" s="5" t="s">
        <v>6</v>
      </c>
    </row>
    <row r="61" s="2" customFormat="1" spans="1:7">
      <c r="A61" s="3">
        <v>101</v>
      </c>
      <c r="B61" s="4">
        <v>95</v>
      </c>
      <c r="C61" s="5">
        <v>47</v>
      </c>
      <c r="D61" s="6" t="s">
        <v>7</v>
      </c>
      <c r="E61" s="3" t="s">
        <v>6</v>
      </c>
      <c r="F61" s="4" t="s">
        <v>12</v>
      </c>
      <c r="G61" s="5" t="s">
        <v>6</v>
      </c>
    </row>
    <row r="62" s="2" customFormat="1" spans="1:7">
      <c r="A62" s="3">
        <v>73</v>
      </c>
      <c r="B62" s="4">
        <v>132</v>
      </c>
      <c r="C62" s="5">
        <v>2</v>
      </c>
      <c r="D62" s="6" t="s">
        <v>8</v>
      </c>
      <c r="E62" s="3" t="s">
        <v>12</v>
      </c>
      <c r="F62" s="4" t="s">
        <v>6</v>
      </c>
      <c r="G62" s="5" t="s">
        <v>12</v>
      </c>
    </row>
    <row r="63" s="2" customFormat="1" spans="1:7">
      <c r="A63" s="3">
        <v>87</v>
      </c>
      <c r="B63" s="4">
        <v>128</v>
      </c>
      <c r="C63" s="5">
        <v>16</v>
      </c>
      <c r="D63" s="6" t="s">
        <v>8</v>
      </c>
      <c r="E63" s="3" t="s">
        <v>12</v>
      </c>
      <c r="F63" s="4" t="s">
        <v>6</v>
      </c>
      <c r="G63" s="5" t="s">
        <v>12</v>
      </c>
    </row>
    <row r="64" s="2" customFormat="1" spans="1:7">
      <c r="A64" s="3">
        <v>63</v>
      </c>
      <c r="B64" s="4">
        <v>113</v>
      </c>
      <c r="C64" s="5">
        <v>21</v>
      </c>
      <c r="D64" s="6" t="s">
        <v>8</v>
      </c>
      <c r="E64" s="3" t="s">
        <v>12</v>
      </c>
      <c r="F64" s="4" t="s">
        <v>6</v>
      </c>
      <c r="G64" s="5" t="s">
        <v>6</v>
      </c>
    </row>
    <row r="65" s="2" customFormat="1" spans="1:7">
      <c r="A65" s="3">
        <v>95</v>
      </c>
      <c r="B65" s="4">
        <v>151</v>
      </c>
      <c r="C65" s="5">
        <v>28</v>
      </c>
      <c r="D65" s="6" t="s">
        <v>8</v>
      </c>
      <c r="E65" s="3" t="s">
        <v>12</v>
      </c>
      <c r="F65" s="4" t="s">
        <v>6</v>
      </c>
      <c r="G65" s="5" t="s">
        <v>6</v>
      </c>
    </row>
    <row r="66" s="2" customFormat="1" spans="1:7">
      <c r="A66" s="3">
        <v>89</v>
      </c>
      <c r="B66" s="4">
        <v>128</v>
      </c>
      <c r="C66" s="5">
        <v>52</v>
      </c>
      <c r="D66" s="6" t="s">
        <v>8</v>
      </c>
      <c r="E66" s="3" t="s">
        <v>12</v>
      </c>
      <c r="F66" s="4" t="s">
        <v>6</v>
      </c>
      <c r="G66" s="5" t="s">
        <v>6</v>
      </c>
    </row>
    <row r="67" s="2" customFormat="1" spans="1:7">
      <c r="A67" s="3">
        <v>75</v>
      </c>
      <c r="B67" s="4">
        <v>100</v>
      </c>
      <c r="C67" s="5">
        <v>13</v>
      </c>
      <c r="D67" s="6" t="s">
        <v>8</v>
      </c>
      <c r="E67" s="3" t="s">
        <v>12</v>
      </c>
      <c r="F67" s="4" t="s">
        <v>12</v>
      </c>
      <c r="G67" s="5" t="s">
        <v>12</v>
      </c>
    </row>
    <row r="68" s="2" customFormat="1" spans="1:7">
      <c r="A68" s="3">
        <v>75</v>
      </c>
      <c r="B68" s="4">
        <v>112</v>
      </c>
      <c r="C68" s="5">
        <v>11</v>
      </c>
      <c r="D68" s="6" t="s">
        <v>8</v>
      </c>
      <c r="E68" s="3" t="s">
        <v>12</v>
      </c>
      <c r="F68" s="4" t="s">
        <v>6</v>
      </c>
      <c r="G68" s="5" t="s">
        <v>12</v>
      </c>
    </row>
    <row r="69" s="2" customFormat="1" spans="1:7">
      <c r="A69" s="3">
        <v>84</v>
      </c>
      <c r="B69" s="4">
        <v>138</v>
      </c>
      <c r="C69" s="5">
        <v>13</v>
      </c>
      <c r="D69" s="6" t="s">
        <v>8</v>
      </c>
      <c r="E69" s="3" t="s">
        <v>12</v>
      </c>
      <c r="F69" s="4" t="s">
        <v>6</v>
      </c>
      <c r="G69" s="5" t="s">
        <v>12</v>
      </c>
    </row>
    <row r="70" s="2" customFormat="1" spans="1:7">
      <c r="A70" s="3">
        <v>99</v>
      </c>
      <c r="B70" s="4">
        <v>138</v>
      </c>
      <c r="C70" s="5">
        <v>13</v>
      </c>
      <c r="D70" s="6" t="s">
        <v>8</v>
      </c>
      <c r="E70" s="3" t="s">
        <v>12</v>
      </c>
      <c r="F70" s="4" t="s">
        <v>6</v>
      </c>
      <c r="G70" s="5" t="s">
        <v>12</v>
      </c>
    </row>
    <row r="71" s="2" customFormat="1" spans="1:7">
      <c r="A71" s="3">
        <v>73</v>
      </c>
      <c r="B71" s="4">
        <v>120</v>
      </c>
      <c r="C71" s="5">
        <v>15</v>
      </c>
      <c r="D71" s="6" t="s">
        <v>8</v>
      </c>
      <c r="E71" s="3" t="s">
        <v>12</v>
      </c>
      <c r="F71" s="4" t="s">
        <v>6</v>
      </c>
      <c r="G71" s="5" t="s">
        <v>12</v>
      </c>
    </row>
    <row r="72" s="2" customFormat="1" spans="1:7">
      <c r="A72" s="3">
        <v>94</v>
      </c>
      <c r="B72" s="4">
        <v>147</v>
      </c>
      <c r="C72" s="5">
        <v>37</v>
      </c>
      <c r="D72" s="6" t="s">
        <v>8</v>
      </c>
      <c r="E72" s="3" t="s">
        <v>12</v>
      </c>
      <c r="F72" s="4" t="s">
        <v>6</v>
      </c>
      <c r="G72" s="5" t="s">
        <v>6</v>
      </c>
    </row>
    <row r="73" s="2" customFormat="1" spans="1:7">
      <c r="A73" s="3">
        <v>92</v>
      </c>
      <c r="B73" s="4">
        <v>124</v>
      </c>
      <c r="C73" s="5">
        <v>0</v>
      </c>
      <c r="D73" s="6" t="s">
        <v>8</v>
      </c>
      <c r="E73" s="3" t="s">
        <v>12</v>
      </c>
      <c r="F73" s="4" t="s">
        <v>6</v>
      </c>
      <c r="G73" s="5" t="s">
        <v>12</v>
      </c>
    </row>
    <row r="74" s="2" customFormat="1" spans="1:7">
      <c r="A74" s="3">
        <v>104</v>
      </c>
      <c r="B74" s="4">
        <v>125</v>
      </c>
      <c r="C74" s="5">
        <v>5</v>
      </c>
      <c r="D74" s="6" t="s">
        <v>8</v>
      </c>
      <c r="E74" s="3" t="s">
        <v>6</v>
      </c>
      <c r="F74" s="4" t="s">
        <v>6</v>
      </c>
      <c r="G74" s="5" t="s">
        <v>12</v>
      </c>
    </row>
    <row r="75" s="2" customFormat="1" spans="1:7">
      <c r="A75" s="3">
        <v>93</v>
      </c>
      <c r="B75" s="4">
        <v>116</v>
      </c>
      <c r="C75" s="5">
        <v>52</v>
      </c>
      <c r="D75" s="6" t="s">
        <v>8</v>
      </c>
      <c r="E75" s="3" t="s">
        <v>12</v>
      </c>
      <c r="F75" s="4" t="s">
        <v>6</v>
      </c>
      <c r="G75" s="5" t="s">
        <v>6</v>
      </c>
    </row>
    <row r="76" s="2" customFormat="1" spans="1:7">
      <c r="A76" s="3">
        <v>96</v>
      </c>
      <c r="B76" s="4">
        <v>123</v>
      </c>
      <c r="C76" s="5">
        <v>31</v>
      </c>
      <c r="D76" s="6" t="s">
        <v>8</v>
      </c>
      <c r="E76" s="3" t="s">
        <v>12</v>
      </c>
      <c r="F76" s="4" t="s">
        <v>6</v>
      </c>
      <c r="G76" s="5" t="s">
        <v>6</v>
      </c>
    </row>
    <row r="77" s="2" customFormat="1" spans="1:7">
      <c r="A77" s="3">
        <v>75</v>
      </c>
      <c r="B77" s="4">
        <v>82</v>
      </c>
      <c r="C77" s="5">
        <v>29</v>
      </c>
      <c r="D77" s="6" t="s">
        <v>8</v>
      </c>
      <c r="E77" s="3" t="s">
        <v>12</v>
      </c>
      <c r="F77" s="4" t="s">
        <v>12</v>
      </c>
      <c r="G77" s="5" t="s">
        <v>6</v>
      </c>
    </row>
    <row r="78" s="2" customFormat="1" spans="1:7">
      <c r="A78" s="3">
        <v>81</v>
      </c>
      <c r="B78" s="4">
        <v>102</v>
      </c>
      <c r="C78" s="5">
        <v>42</v>
      </c>
      <c r="D78" s="6" t="s">
        <v>8</v>
      </c>
      <c r="E78" s="3" t="s">
        <v>12</v>
      </c>
      <c r="F78" s="4" t="s">
        <v>12</v>
      </c>
      <c r="G78" s="5" t="s">
        <v>6</v>
      </c>
    </row>
    <row r="79" s="2" customFormat="1" spans="1:7">
      <c r="A79" s="3">
        <v>99</v>
      </c>
      <c r="B79" s="4">
        <v>141</v>
      </c>
      <c r="C79" s="5">
        <v>13</v>
      </c>
      <c r="D79" s="6" t="s">
        <v>8</v>
      </c>
      <c r="E79" s="3" t="s">
        <v>12</v>
      </c>
      <c r="F79" s="4" t="s">
        <v>6</v>
      </c>
      <c r="G79" s="5" t="s">
        <v>12</v>
      </c>
    </row>
    <row r="80" s="2" customFormat="1" spans="1:7">
      <c r="A80" s="3">
        <v>104</v>
      </c>
      <c r="B80" s="4">
        <v>141</v>
      </c>
      <c r="C80" s="5">
        <v>56</v>
      </c>
      <c r="D80" s="6" t="s">
        <v>8</v>
      </c>
      <c r="E80" s="3" t="s">
        <v>6</v>
      </c>
      <c r="F80" s="4" t="s">
        <v>6</v>
      </c>
      <c r="G80" s="5" t="s">
        <v>6</v>
      </c>
    </row>
    <row r="81" s="2" customFormat="1" spans="1:7">
      <c r="A81" s="3">
        <v>110</v>
      </c>
      <c r="B81" s="4">
        <v>154</v>
      </c>
      <c r="C81" s="5">
        <v>10</v>
      </c>
      <c r="D81" s="6" t="s">
        <v>8</v>
      </c>
      <c r="E81" s="3" t="s">
        <v>6</v>
      </c>
      <c r="F81" s="4" t="s">
        <v>6</v>
      </c>
      <c r="G81" s="5" t="s">
        <v>12</v>
      </c>
    </row>
    <row r="82" s="2" customFormat="1" spans="1:7">
      <c r="A82" s="3">
        <v>91</v>
      </c>
      <c r="B82" s="4">
        <v>59</v>
      </c>
      <c r="C82" s="5">
        <v>33</v>
      </c>
      <c r="D82" s="6" t="s">
        <v>8</v>
      </c>
      <c r="E82" s="3" t="s">
        <v>12</v>
      </c>
      <c r="F82" s="4" t="s">
        <v>12</v>
      </c>
      <c r="G82" s="5" t="s">
        <v>6</v>
      </c>
    </row>
    <row r="83" s="2" customFormat="1" spans="1:7">
      <c r="A83" s="3">
        <v>107</v>
      </c>
      <c r="B83" s="4">
        <v>167</v>
      </c>
      <c r="C83" s="5">
        <v>13</v>
      </c>
      <c r="D83" s="6" t="s">
        <v>8</v>
      </c>
      <c r="E83" s="3" t="s">
        <v>6</v>
      </c>
      <c r="F83" s="4" t="s">
        <v>6</v>
      </c>
      <c r="G83" s="5" t="s">
        <v>12</v>
      </c>
    </row>
    <row r="84" s="2" customFormat="1" spans="1:7">
      <c r="A84" s="3">
        <v>103</v>
      </c>
      <c r="B84" s="4">
        <v>127</v>
      </c>
      <c r="C84" s="5">
        <v>9</v>
      </c>
      <c r="D84" s="6" t="s">
        <v>8</v>
      </c>
      <c r="E84" s="3" t="s">
        <v>6</v>
      </c>
      <c r="F84" s="4" t="s">
        <v>6</v>
      </c>
      <c r="G84" s="5" t="s">
        <v>12</v>
      </c>
    </row>
    <row r="85" s="2" customFormat="1" spans="1:7">
      <c r="A85" s="3">
        <v>104</v>
      </c>
      <c r="B85" s="4">
        <v>141</v>
      </c>
      <c r="C85" s="5">
        <v>56</v>
      </c>
      <c r="D85" s="6" t="s">
        <v>8</v>
      </c>
      <c r="E85" s="3" t="s">
        <v>6</v>
      </c>
      <c r="F85" s="4" t="s">
        <v>6</v>
      </c>
      <c r="G85" s="5" t="s">
        <v>6</v>
      </c>
    </row>
    <row r="86" s="2" customFormat="1" spans="1:7">
      <c r="A86" s="3">
        <v>110</v>
      </c>
      <c r="B86" s="4">
        <v>154</v>
      </c>
      <c r="C86" s="5">
        <v>10</v>
      </c>
      <c r="D86" s="6" t="s">
        <v>8</v>
      </c>
      <c r="E86" s="3" t="s">
        <v>6</v>
      </c>
      <c r="F86" s="4" t="s">
        <v>6</v>
      </c>
      <c r="G86" s="5" t="s">
        <v>12</v>
      </c>
    </row>
    <row r="87" s="2" customFormat="1" spans="1:7">
      <c r="A87" s="3">
        <v>99</v>
      </c>
      <c r="B87" s="4">
        <v>141</v>
      </c>
      <c r="C87" s="5">
        <v>13</v>
      </c>
      <c r="D87" s="6" t="s">
        <v>8</v>
      </c>
      <c r="E87" s="3" t="s">
        <v>12</v>
      </c>
      <c r="F87" s="4" t="s">
        <v>6</v>
      </c>
      <c r="G87" s="5" t="s">
        <v>12</v>
      </c>
    </row>
    <row r="88" s="2" customFormat="1" spans="1:7">
      <c r="A88" s="3">
        <v>70</v>
      </c>
      <c r="B88" s="4">
        <v>107</v>
      </c>
      <c r="C88" s="5">
        <v>23</v>
      </c>
      <c r="D88" s="6" t="s">
        <v>8</v>
      </c>
      <c r="E88" s="3" t="s">
        <v>12</v>
      </c>
      <c r="F88" s="4" t="s">
        <v>12</v>
      </c>
      <c r="G88" s="5" t="s">
        <v>6</v>
      </c>
    </row>
    <row r="89" s="2" customFormat="1" spans="1:7">
      <c r="A89" s="3">
        <v>92</v>
      </c>
      <c r="B89" s="4">
        <v>133</v>
      </c>
      <c r="C89" s="5">
        <v>5</v>
      </c>
      <c r="D89" s="6" t="s">
        <v>8</v>
      </c>
      <c r="E89" s="3" t="s">
        <v>12</v>
      </c>
      <c r="F89" s="4" t="s">
        <v>6</v>
      </c>
      <c r="G89" s="5" t="s">
        <v>12</v>
      </c>
    </row>
    <row r="90" s="2" customFormat="1" spans="1:7">
      <c r="A90" s="3">
        <v>79</v>
      </c>
      <c r="B90" s="4">
        <v>112</v>
      </c>
      <c r="C90" s="5">
        <v>18</v>
      </c>
      <c r="D90" s="6" t="s">
        <v>8</v>
      </c>
      <c r="E90" s="3" t="s">
        <v>12</v>
      </c>
      <c r="F90" s="4" t="s">
        <v>6</v>
      </c>
      <c r="G90" s="5" t="s">
        <v>12</v>
      </c>
    </row>
    <row r="91" s="2" customFormat="1" spans="1:7">
      <c r="A91" s="3">
        <v>115</v>
      </c>
      <c r="B91" s="4">
        <v>133</v>
      </c>
      <c r="C91" s="5">
        <v>25</v>
      </c>
      <c r="D91" s="6" t="s">
        <v>8</v>
      </c>
      <c r="E91" s="3" t="s">
        <v>6</v>
      </c>
      <c r="F91" s="4" t="s">
        <v>6</v>
      </c>
      <c r="G91" s="5" t="s">
        <v>6</v>
      </c>
    </row>
  </sheetData>
  <mergeCells count="5">
    <mergeCell ref="I1:O1"/>
    <mergeCell ref="I5:J5"/>
    <mergeCell ref="I19:I20"/>
    <mergeCell ref="I22:I23"/>
    <mergeCell ref="I25:I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2"/>
  <sheetViews>
    <sheetView topLeftCell="A39" workbookViewId="0">
      <selection activeCell="C4" sqref="A1:D92"/>
    </sheetView>
  </sheetViews>
  <sheetFormatPr defaultColWidth="8.72727272727273" defaultRowHeight="14.5"/>
  <cols>
    <col min="12" max="12" width="12.8181818181818"/>
  </cols>
  <sheetData>
    <row r="1" spans="1:11">
      <c r="A1" t="s">
        <v>38</v>
      </c>
      <c r="F1" t="s">
        <v>39</v>
      </c>
      <c r="K1" t="s">
        <v>40</v>
      </c>
    </row>
    <row r="2" spans="1:12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  <c r="K2" t="s">
        <v>41</v>
      </c>
      <c r="L2">
        <v>0</v>
      </c>
    </row>
    <row r="3" spans="1:12">
      <c r="A3">
        <v>137</v>
      </c>
      <c r="B3">
        <v>112</v>
      </c>
      <c r="C3">
        <v>73</v>
      </c>
      <c r="D3">
        <v>0</v>
      </c>
      <c r="F3">
        <v>117</v>
      </c>
      <c r="G3">
        <v>105</v>
      </c>
      <c r="H3">
        <v>81</v>
      </c>
      <c r="I3">
        <v>0</v>
      </c>
      <c r="K3" t="s">
        <v>42</v>
      </c>
      <c r="L3">
        <v>1</v>
      </c>
    </row>
    <row r="4" spans="1:12">
      <c r="A4">
        <v>125</v>
      </c>
      <c r="B4">
        <v>103</v>
      </c>
      <c r="C4">
        <v>65</v>
      </c>
      <c r="D4">
        <v>0</v>
      </c>
      <c r="F4">
        <v>125</v>
      </c>
      <c r="G4">
        <v>115</v>
      </c>
      <c r="H4">
        <v>15</v>
      </c>
      <c r="I4">
        <v>0</v>
      </c>
      <c r="K4" t="s">
        <v>43</v>
      </c>
      <c r="L4">
        <v>2</v>
      </c>
    </row>
    <row r="5" spans="1:9">
      <c r="A5">
        <v>135</v>
      </c>
      <c r="B5">
        <v>80</v>
      </c>
      <c r="C5">
        <v>28</v>
      </c>
      <c r="D5">
        <v>0</v>
      </c>
      <c r="F5">
        <v>131</v>
      </c>
      <c r="G5">
        <v>74</v>
      </c>
      <c r="H5">
        <v>31</v>
      </c>
      <c r="I5">
        <v>0</v>
      </c>
    </row>
    <row r="6" spans="1:13">
      <c r="A6">
        <v>153</v>
      </c>
      <c r="B6">
        <v>110</v>
      </c>
      <c r="C6">
        <v>24</v>
      </c>
      <c r="D6">
        <v>0</v>
      </c>
      <c r="F6">
        <v>116</v>
      </c>
      <c r="G6">
        <v>110</v>
      </c>
      <c r="H6">
        <v>63</v>
      </c>
      <c r="I6">
        <v>0</v>
      </c>
      <c r="K6" s="1" t="s">
        <v>44</v>
      </c>
      <c r="L6" s="1"/>
      <c r="M6" s="1"/>
    </row>
    <row r="7" spans="1:12">
      <c r="A7">
        <v>123</v>
      </c>
      <c r="B7">
        <v>96</v>
      </c>
      <c r="C7">
        <v>23</v>
      </c>
      <c r="D7">
        <v>0</v>
      </c>
      <c r="F7">
        <v>131</v>
      </c>
      <c r="G7">
        <v>107</v>
      </c>
      <c r="H7">
        <v>40</v>
      </c>
      <c r="I7">
        <v>0</v>
      </c>
      <c r="K7" t="s">
        <v>45</v>
      </c>
      <c r="L7">
        <f>COUNTA(A3:A92)</f>
        <v>90</v>
      </c>
    </row>
    <row r="8" spans="1:12">
      <c r="A8">
        <v>127</v>
      </c>
      <c r="B8">
        <v>107</v>
      </c>
      <c r="C8">
        <v>40</v>
      </c>
      <c r="D8">
        <v>0</v>
      </c>
      <c r="F8">
        <v>124</v>
      </c>
      <c r="G8">
        <v>112</v>
      </c>
      <c r="H8">
        <v>28</v>
      </c>
      <c r="I8">
        <v>0</v>
      </c>
      <c r="K8" t="s">
        <v>46</v>
      </c>
      <c r="L8">
        <f>COUNTA(B3:B92)</f>
        <v>90</v>
      </c>
    </row>
    <row r="9" spans="1:12">
      <c r="A9">
        <v>109</v>
      </c>
      <c r="B9">
        <v>92</v>
      </c>
      <c r="C9">
        <v>72</v>
      </c>
      <c r="D9">
        <v>0</v>
      </c>
      <c r="F9">
        <v>142</v>
      </c>
      <c r="G9">
        <v>135</v>
      </c>
      <c r="H9">
        <v>60</v>
      </c>
      <c r="I9">
        <v>0</v>
      </c>
      <c r="K9" t="s">
        <v>47</v>
      </c>
      <c r="L9">
        <f>COUNTA(C3:C92)</f>
        <v>90</v>
      </c>
    </row>
    <row r="10" spans="1:12">
      <c r="A10">
        <v>112</v>
      </c>
      <c r="B10">
        <v>100</v>
      </c>
      <c r="C10">
        <v>44</v>
      </c>
      <c r="D10">
        <v>0</v>
      </c>
      <c r="F10">
        <v>117</v>
      </c>
      <c r="G10">
        <v>114</v>
      </c>
      <c r="H10">
        <v>28</v>
      </c>
      <c r="I10">
        <v>0</v>
      </c>
      <c r="K10" t="s">
        <v>48</v>
      </c>
      <c r="L10">
        <f>COUNTA(D3:D92)</f>
        <v>90</v>
      </c>
    </row>
    <row r="11" spans="1:9">
      <c r="A11">
        <v>116</v>
      </c>
      <c r="B11">
        <v>106</v>
      </c>
      <c r="C11">
        <v>56</v>
      </c>
      <c r="D11">
        <v>0</v>
      </c>
      <c r="F11">
        <v>100</v>
      </c>
      <c r="G11">
        <v>126</v>
      </c>
      <c r="H11">
        <v>48</v>
      </c>
      <c r="I11">
        <v>0</v>
      </c>
    </row>
    <row r="12" spans="1:13">
      <c r="A12">
        <v>104</v>
      </c>
      <c r="B12">
        <v>90</v>
      </c>
      <c r="C12">
        <v>42</v>
      </c>
      <c r="D12">
        <v>0</v>
      </c>
      <c r="F12">
        <v>115</v>
      </c>
      <c r="G12">
        <v>117</v>
      </c>
      <c r="H12">
        <v>25</v>
      </c>
      <c r="I12">
        <v>0</v>
      </c>
      <c r="K12" s="1" t="s">
        <v>49</v>
      </c>
      <c r="L12" s="1"/>
      <c r="M12" s="1"/>
    </row>
    <row r="13" spans="1:12">
      <c r="A13">
        <v>122</v>
      </c>
      <c r="B13">
        <v>88</v>
      </c>
      <c r="C13">
        <v>38</v>
      </c>
      <c r="D13">
        <v>0</v>
      </c>
      <c r="F13">
        <v>65</v>
      </c>
      <c r="G13">
        <v>120</v>
      </c>
      <c r="H13">
        <v>5</v>
      </c>
      <c r="I13">
        <v>1</v>
      </c>
      <c r="K13" t="s">
        <v>41</v>
      </c>
      <c r="L13">
        <f>COUNTIF(D3:D92,"0")</f>
        <v>30</v>
      </c>
    </row>
    <row r="14" spans="1:12">
      <c r="A14">
        <v>116</v>
      </c>
      <c r="B14">
        <v>108</v>
      </c>
      <c r="C14">
        <v>56</v>
      </c>
      <c r="D14">
        <v>0</v>
      </c>
      <c r="F14">
        <v>109</v>
      </c>
      <c r="G14">
        <v>107</v>
      </c>
      <c r="H14">
        <v>15</v>
      </c>
      <c r="I14">
        <v>1</v>
      </c>
      <c r="K14" t="s">
        <v>42</v>
      </c>
      <c r="L14">
        <f>COUNTIF(D3:D92,"1")</f>
        <v>30</v>
      </c>
    </row>
    <row r="15" spans="1:12">
      <c r="A15">
        <v>126</v>
      </c>
      <c r="B15">
        <v>89</v>
      </c>
      <c r="C15">
        <v>39</v>
      </c>
      <c r="D15">
        <v>0</v>
      </c>
      <c r="F15">
        <v>89</v>
      </c>
      <c r="G15">
        <v>102</v>
      </c>
      <c r="H15">
        <v>7</v>
      </c>
      <c r="I15">
        <v>1</v>
      </c>
      <c r="K15" t="s">
        <v>43</v>
      </c>
      <c r="L15">
        <f>COUNTIF(D3:D92,"2")</f>
        <v>30</v>
      </c>
    </row>
    <row r="16" spans="1:9">
      <c r="A16">
        <v>119</v>
      </c>
      <c r="B16">
        <v>109</v>
      </c>
      <c r="C16">
        <v>34</v>
      </c>
      <c r="D16">
        <v>0</v>
      </c>
      <c r="F16">
        <v>68</v>
      </c>
      <c r="G16">
        <v>93</v>
      </c>
      <c r="H16">
        <v>7</v>
      </c>
      <c r="I16">
        <v>1</v>
      </c>
    </row>
    <row r="17" spans="1:13">
      <c r="A17">
        <v>123</v>
      </c>
      <c r="B17">
        <v>91</v>
      </c>
      <c r="C17">
        <v>38</v>
      </c>
      <c r="D17">
        <v>0</v>
      </c>
      <c r="F17">
        <v>118</v>
      </c>
      <c r="G17">
        <v>102</v>
      </c>
      <c r="H17">
        <v>12</v>
      </c>
      <c r="I17">
        <v>1</v>
      </c>
      <c r="K17" s="1" t="s">
        <v>50</v>
      </c>
      <c r="L17" s="1"/>
      <c r="M17" s="1"/>
    </row>
    <row r="18" spans="1:9">
      <c r="A18">
        <v>174</v>
      </c>
      <c r="B18">
        <v>162</v>
      </c>
      <c r="C18">
        <v>102</v>
      </c>
      <c r="D18">
        <v>0</v>
      </c>
      <c r="F18">
        <v>95</v>
      </c>
      <c r="G18">
        <v>87</v>
      </c>
      <c r="H18">
        <v>23</v>
      </c>
      <c r="I18">
        <v>1</v>
      </c>
    </row>
    <row r="19" spans="1:12">
      <c r="A19">
        <v>102</v>
      </c>
      <c r="B19">
        <v>79</v>
      </c>
      <c r="C19">
        <v>22</v>
      </c>
      <c r="D19">
        <v>0</v>
      </c>
      <c r="F19">
        <v>86</v>
      </c>
      <c r="G19">
        <v>80</v>
      </c>
      <c r="H19">
        <v>17</v>
      </c>
      <c r="I19">
        <v>1</v>
      </c>
      <c r="K19" t="s">
        <v>41</v>
      </c>
      <c r="L19">
        <f>L13/L10</f>
        <v>0.333333333333333</v>
      </c>
    </row>
    <row r="20" spans="1:12">
      <c r="A20">
        <v>125</v>
      </c>
      <c r="B20">
        <v>105</v>
      </c>
      <c r="C20">
        <v>46</v>
      </c>
      <c r="D20">
        <v>0</v>
      </c>
      <c r="F20">
        <v>100</v>
      </c>
      <c r="G20">
        <v>102</v>
      </c>
      <c r="H20">
        <v>20</v>
      </c>
      <c r="I20">
        <v>1</v>
      </c>
      <c r="K20" t="s">
        <v>42</v>
      </c>
      <c r="L20">
        <f>L14/L10</f>
        <v>0.333333333333333</v>
      </c>
    </row>
    <row r="21" spans="1:12">
      <c r="A21">
        <v>112</v>
      </c>
      <c r="B21">
        <v>89</v>
      </c>
      <c r="C21">
        <v>22</v>
      </c>
      <c r="D21">
        <v>0</v>
      </c>
      <c r="F21">
        <v>27</v>
      </c>
      <c r="G21">
        <v>43</v>
      </c>
      <c r="H21">
        <v>2</v>
      </c>
      <c r="I21">
        <v>1</v>
      </c>
      <c r="K21" t="s">
        <v>43</v>
      </c>
      <c r="L21">
        <f>L15/L10</f>
        <v>0.333333333333333</v>
      </c>
    </row>
    <row r="22" spans="1:9">
      <c r="A22">
        <v>120</v>
      </c>
      <c r="B22">
        <v>104</v>
      </c>
      <c r="C22">
        <v>46</v>
      </c>
      <c r="D22">
        <v>0</v>
      </c>
      <c r="F22">
        <v>90</v>
      </c>
      <c r="G22">
        <v>86</v>
      </c>
      <c r="H22">
        <v>7</v>
      </c>
      <c r="I22">
        <v>1</v>
      </c>
    </row>
    <row r="23" spans="1:12">
      <c r="A23">
        <v>130</v>
      </c>
      <c r="B23">
        <v>95</v>
      </c>
      <c r="C23">
        <v>14</v>
      </c>
      <c r="D23">
        <v>0</v>
      </c>
      <c r="F23">
        <v>105</v>
      </c>
      <c r="G23">
        <v>100</v>
      </c>
      <c r="H23">
        <v>21</v>
      </c>
      <c r="I23">
        <v>1</v>
      </c>
      <c r="K23" s="1" t="s">
        <v>51</v>
      </c>
      <c r="L23" s="1"/>
    </row>
    <row r="24" spans="1:9">
      <c r="A24">
        <v>107</v>
      </c>
      <c r="B24">
        <v>81</v>
      </c>
      <c r="C24">
        <v>52</v>
      </c>
      <c r="D24">
        <v>0</v>
      </c>
      <c r="F24">
        <v>75</v>
      </c>
      <c r="G24">
        <v>120</v>
      </c>
      <c r="H24">
        <v>4</v>
      </c>
      <c r="I24">
        <v>2</v>
      </c>
    </row>
    <row r="25" spans="1:9">
      <c r="A25">
        <v>156</v>
      </c>
      <c r="B25">
        <v>152</v>
      </c>
      <c r="C25">
        <v>96</v>
      </c>
      <c r="D25">
        <v>0</v>
      </c>
      <c r="F25">
        <v>70</v>
      </c>
      <c r="G25">
        <v>125</v>
      </c>
      <c r="H25">
        <v>25</v>
      </c>
      <c r="I25">
        <v>2</v>
      </c>
    </row>
    <row r="26" spans="1:9">
      <c r="A26">
        <v>107</v>
      </c>
      <c r="B26">
        <v>62</v>
      </c>
      <c r="C26">
        <v>15</v>
      </c>
      <c r="D26">
        <v>0</v>
      </c>
      <c r="F26">
        <v>90</v>
      </c>
      <c r="G26">
        <v>145</v>
      </c>
      <c r="H26">
        <v>10</v>
      </c>
      <c r="I26">
        <v>2</v>
      </c>
    </row>
    <row r="27" spans="1:9">
      <c r="A27">
        <v>104</v>
      </c>
      <c r="B27">
        <v>82</v>
      </c>
      <c r="C27">
        <v>40</v>
      </c>
      <c r="D27">
        <v>0</v>
      </c>
      <c r="F27">
        <v>115</v>
      </c>
      <c r="G27">
        <v>122</v>
      </c>
      <c r="H27">
        <v>7</v>
      </c>
      <c r="I27">
        <v>2</v>
      </c>
    </row>
    <row r="28" spans="1:9">
      <c r="A28">
        <v>110</v>
      </c>
      <c r="B28">
        <v>86</v>
      </c>
      <c r="C28">
        <v>35</v>
      </c>
      <c r="D28">
        <v>0</v>
      </c>
      <c r="F28">
        <v>87</v>
      </c>
      <c r="G28">
        <v>133</v>
      </c>
      <c r="H28">
        <v>21</v>
      </c>
      <c r="I28">
        <v>2</v>
      </c>
    </row>
    <row r="29" spans="1:9">
      <c r="A29">
        <v>175</v>
      </c>
      <c r="B29">
        <v>152</v>
      </c>
      <c r="C29">
        <v>110</v>
      </c>
      <c r="D29">
        <v>0</v>
      </c>
      <c r="F29">
        <v>109</v>
      </c>
      <c r="G29">
        <v>152</v>
      </c>
      <c r="H29">
        <v>5</v>
      </c>
      <c r="I29">
        <v>2</v>
      </c>
    </row>
    <row r="30" spans="1:9">
      <c r="A30">
        <v>111</v>
      </c>
      <c r="B30">
        <v>88</v>
      </c>
      <c r="C30">
        <v>42</v>
      </c>
      <c r="D30">
        <v>0</v>
      </c>
      <c r="F30">
        <v>93</v>
      </c>
      <c r="G30">
        <v>125</v>
      </c>
      <c r="H30">
        <v>19</v>
      </c>
      <c r="I30">
        <v>2</v>
      </c>
    </row>
    <row r="31" spans="1:9">
      <c r="A31">
        <v>132</v>
      </c>
      <c r="B31">
        <v>106</v>
      </c>
      <c r="C31">
        <v>46</v>
      </c>
      <c r="D31">
        <v>0</v>
      </c>
      <c r="F31">
        <v>100</v>
      </c>
      <c r="G31">
        <v>119</v>
      </c>
      <c r="H31">
        <v>3</v>
      </c>
      <c r="I31">
        <v>2</v>
      </c>
    </row>
    <row r="32" spans="1:9">
      <c r="A32">
        <v>115</v>
      </c>
      <c r="B32">
        <v>102</v>
      </c>
      <c r="C32">
        <v>24</v>
      </c>
      <c r="D32">
        <v>0</v>
      </c>
      <c r="F32">
        <v>88</v>
      </c>
      <c r="G32">
        <v>147</v>
      </c>
      <c r="H32">
        <v>0</v>
      </c>
      <c r="I32">
        <v>2</v>
      </c>
    </row>
    <row r="33" spans="1:4">
      <c r="A33">
        <v>110</v>
      </c>
      <c r="B33">
        <v>115</v>
      </c>
      <c r="C33">
        <v>19</v>
      </c>
      <c r="D33">
        <v>1</v>
      </c>
    </row>
    <row r="34" spans="1:4">
      <c r="A34">
        <v>116</v>
      </c>
      <c r="B34">
        <v>118</v>
      </c>
      <c r="C34">
        <v>13</v>
      </c>
      <c r="D34">
        <v>1</v>
      </c>
    </row>
    <row r="35" spans="1:4">
      <c r="A35">
        <v>20</v>
      </c>
      <c r="B35">
        <v>39</v>
      </c>
      <c r="C35">
        <v>0</v>
      </c>
      <c r="D35">
        <v>1</v>
      </c>
    </row>
    <row r="36" spans="1:4">
      <c r="A36">
        <v>108</v>
      </c>
      <c r="B36">
        <v>154</v>
      </c>
      <c r="C36">
        <v>14</v>
      </c>
      <c r="D36">
        <v>1</v>
      </c>
    </row>
    <row r="37" spans="1:4">
      <c r="A37">
        <v>93</v>
      </c>
      <c r="B37">
        <v>102</v>
      </c>
      <c r="C37">
        <v>27</v>
      </c>
      <c r="D37">
        <v>1</v>
      </c>
    </row>
    <row r="38" spans="1:4">
      <c r="A38">
        <v>58</v>
      </c>
      <c r="B38">
        <v>134</v>
      </c>
      <c r="C38">
        <v>4</v>
      </c>
      <c r="D38">
        <v>1</v>
      </c>
    </row>
    <row r="39" spans="1:4">
      <c r="A39">
        <v>121</v>
      </c>
      <c r="B39">
        <v>152</v>
      </c>
      <c r="C39">
        <v>16</v>
      </c>
      <c r="D39">
        <v>1</v>
      </c>
    </row>
    <row r="40" spans="1:4">
      <c r="A40">
        <v>78</v>
      </c>
      <c r="B40">
        <v>72</v>
      </c>
      <c r="C40">
        <v>0</v>
      </c>
      <c r="D40">
        <v>1</v>
      </c>
    </row>
    <row r="41" spans="1:4">
      <c r="A41">
        <v>113</v>
      </c>
      <c r="B41">
        <v>116</v>
      </c>
      <c r="C41">
        <v>20</v>
      </c>
      <c r="D41">
        <v>1</v>
      </c>
    </row>
    <row r="42" spans="1:4">
      <c r="A42">
        <v>88</v>
      </c>
      <c r="B42">
        <v>110</v>
      </c>
      <c r="C42">
        <v>20</v>
      </c>
      <c r="D42">
        <v>1</v>
      </c>
    </row>
    <row r="43" spans="1:4">
      <c r="A43">
        <v>100</v>
      </c>
      <c r="B43">
        <v>120</v>
      </c>
      <c r="C43">
        <v>20</v>
      </c>
      <c r="D43">
        <v>1</v>
      </c>
    </row>
    <row r="44" spans="1:4">
      <c r="A44">
        <v>141</v>
      </c>
      <c r="B44">
        <v>144</v>
      </c>
      <c r="C44">
        <v>64</v>
      </c>
      <c r="D44">
        <v>1</v>
      </c>
    </row>
    <row r="45" spans="1:4">
      <c r="A45">
        <v>57</v>
      </c>
      <c r="B45">
        <v>86</v>
      </c>
      <c r="C45">
        <v>2</v>
      </c>
      <c r="D45">
        <v>1</v>
      </c>
    </row>
    <row r="46" spans="1:4">
      <c r="A46">
        <v>107</v>
      </c>
      <c r="B46">
        <v>114</v>
      </c>
      <c r="C46">
        <v>7</v>
      </c>
      <c r="D46">
        <v>1</v>
      </c>
    </row>
    <row r="47" spans="1:4">
      <c r="A47">
        <v>101</v>
      </c>
      <c r="B47">
        <v>129</v>
      </c>
      <c r="C47">
        <v>20</v>
      </c>
      <c r="D47">
        <v>1</v>
      </c>
    </row>
    <row r="48" spans="1:4">
      <c r="A48">
        <v>76</v>
      </c>
      <c r="B48">
        <v>71</v>
      </c>
      <c r="C48">
        <v>15</v>
      </c>
      <c r="D48">
        <v>1</v>
      </c>
    </row>
    <row r="49" spans="1:4">
      <c r="A49">
        <v>87</v>
      </c>
      <c r="B49">
        <v>96</v>
      </c>
      <c r="C49">
        <v>0</v>
      </c>
      <c r="D49">
        <v>1</v>
      </c>
    </row>
    <row r="50" spans="1:4">
      <c r="A50">
        <v>115</v>
      </c>
      <c r="B50">
        <v>123</v>
      </c>
      <c r="C50">
        <v>2</v>
      </c>
      <c r="D50">
        <v>1</v>
      </c>
    </row>
    <row r="51" spans="1:4">
      <c r="A51">
        <v>75</v>
      </c>
      <c r="B51">
        <v>79</v>
      </c>
      <c r="C51">
        <v>2</v>
      </c>
      <c r="D51">
        <v>1</v>
      </c>
    </row>
    <row r="52" spans="1:4">
      <c r="A52">
        <v>74</v>
      </c>
      <c r="B52">
        <v>75</v>
      </c>
      <c r="C52">
        <v>12</v>
      </c>
      <c r="D52">
        <v>1</v>
      </c>
    </row>
    <row r="53" spans="1:4">
      <c r="A53">
        <v>115</v>
      </c>
      <c r="B53">
        <v>123</v>
      </c>
      <c r="C53">
        <v>2</v>
      </c>
      <c r="D53">
        <v>1</v>
      </c>
    </row>
    <row r="54" spans="1:4">
      <c r="A54">
        <v>75</v>
      </c>
      <c r="B54">
        <v>79</v>
      </c>
      <c r="C54">
        <v>2</v>
      </c>
      <c r="D54">
        <v>1</v>
      </c>
    </row>
    <row r="55" spans="1:4">
      <c r="A55">
        <v>104</v>
      </c>
      <c r="B55">
        <v>95</v>
      </c>
      <c r="C55">
        <v>8</v>
      </c>
      <c r="D55">
        <v>1</v>
      </c>
    </row>
    <row r="56" spans="1:4">
      <c r="A56">
        <v>70</v>
      </c>
      <c r="B56">
        <v>72</v>
      </c>
      <c r="C56">
        <v>5</v>
      </c>
      <c r="D56">
        <v>1</v>
      </c>
    </row>
    <row r="57" spans="1:4">
      <c r="A57">
        <v>101</v>
      </c>
      <c r="B57">
        <v>107</v>
      </c>
      <c r="C57">
        <v>15</v>
      </c>
      <c r="D57">
        <v>1</v>
      </c>
    </row>
    <row r="58" spans="1:4">
      <c r="A58">
        <v>93</v>
      </c>
      <c r="B58">
        <v>87</v>
      </c>
      <c r="C58">
        <v>6</v>
      </c>
      <c r="D58">
        <v>1</v>
      </c>
    </row>
    <row r="59" spans="1:4">
      <c r="A59">
        <v>81</v>
      </c>
      <c r="B59">
        <v>78</v>
      </c>
      <c r="C59">
        <v>7</v>
      </c>
      <c r="D59">
        <v>1</v>
      </c>
    </row>
    <row r="60" spans="1:4">
      <c r="A60">
        <v>81</v>
      </c>
      <c r="B60">
        <v>74</v>
      </c>
      <c r="C60">
        <v>26</v>
      </c>
      <c r="D60">
        <v>1</v>
      </c>
    </row>
    <row r="61" spans="1:4">
      <c r="A61">
        <v>103</v>
      </c>
      <c r="B61">
        <v>102</v>
      </c>
      <c r="C61">
        <v>33</v>
      </c>
      <c r="D61">
        <v>1</v>
      </c>
    </row>
    <row r="62" spans="1:4">
      <c r="A62">
        <v>101</v>
      </c>
      <c r="B62">
        <v>95</v>
      </c>
      <c r="C62">
        <v>47</v>
      </c>
      <c r="D62">
        <v>1</v>
      </c>
    </row>
    <row r="63" spans="1:4">
      <c r="A63">
        <v>73</v>
      </c>
      <c r="B63">
        <v>132</v>
      </c>
      <c r="C63">
        <v>2</v>
      </c>
      <c r="D63">
        <v>2</v>
      </c>
    </row>
    <row r="64" spans="1:4">
      <c r="A64">
        <v>87</v>
      </c>
      <c r="B64">
        <v>128</v>
      </c>
      <c r="C64">
        <v>16</v>
      </c>
      <c r="D64">
        <v>2</v>
      </c>
    </row>
    <row r="65" spans="1:4">
      <c r="A65">
        <v>63</v>
      </c>
      <c r="B65">
        <v>113</v>
      </c>
      <c r="C65">
        <v>21</v>
      </c>
      <c r="D65">
        <v>2</v>
      </c>
    </row>
    <row r="66" spans="1:4">
      <c r="A66">
        <v>95</v>
      </c>
      <c r="B66">
        <v>151</v>
      </c>
      <c r="C66">
        <v>28</v>
      </c>
      <c r="D66">
        <v>2</v>
      </c>
    </row>
    <row r="67" spans="1:4">
      <c r="A67">
        <v>89</v>
      </c>
      <c r="B67">
        <v>128</v>
      </c>
      <c r="C67">
        <v>52</v>
      </c>
      <c r="D67">
        <v>2</v>
      </c>
    </row>
    <row r="68" spans="1:4">
      <c r="A68">
        <v>75</v>
      </c>
      <c r="B68">
        <v>100</v>
      </c>
      <c r="C68">
        <v>13</v>
      </c>
      <c r="D68">
        <v>2</v>
      </c>
    </row>
    <row r="69" spans="1:4">
      <c r="A69">
        <v>75</v>
      </c>
      <c r="B69">
        <v>112</v>
      </c>
      <c r="C69">
        <v>11</v>
      </c>
      <c r="D69">
        <v>2</v>
      </c>
    </row>
    <row r="70" spans="1:4">
      <c r="A70">
        <v>84</v>
      </c>
      <c r="B70">
        <v>138</v>
      </c>
      <c r="C70">
        <v>13</v>
      </c>
      <c r="D70">
        <v>2</v>
      </c>
    </row>
    <row r="71" spans="1:4">
      <c r="A71">
        <v>99</v>
      </c>
      <c r="B71">
        <v>138</v>
      </c>
      <c r="C71">
        <v>13</v>
      </c>
      <c r="D71">
        <v>2</v>
      </c>
    </row>
    <row r="72" spans="1:4">
      <c r="A72">
        <v>73</v>
      </c>
      <c r="B72">
        <v>120</v>
      </c>
      <c r="C72">
        <v>15</v>
      </c>
      <c r="D72">
        <v>2</v>
      </c>
    </row>
    <row r="73" spans="1:4">
      <c r="A73">
        <v>94</v>
      </c>
      <c r="B73">
        <v>147</v>
      </c>
      <c r="C73">
        <v>37</v>
      </c>
      <c r="D73">
        <v>2</v>
      </c>
    </row>
    <row r="74" spans="1:4">
      <c r="A74">
        <v>92</v>
      </c>
      <c r="B74">
        <v>124</v>
      </c>
      <c r="C74">
        <v>0</v>
      </c>
      <c r="D74">
        <v>2</v>
      </c>
    </row>
    <row r="75" spans="1:4">
      <c r="A75">
        <v>104</v>
      </c>
      <c r="B75">
        <v>125</v>
      </c>
      <c r="C75">
        <v>5</v>
      </c>
      <c r="D75">
        <v>2</v>
      </c>
    </row>
    <row r="76" spans="1:4">
      <c r="A76">
        <v>93</v>
      </c>
      <c r="B76">
        <v>116</v>
      </c>
      <c r="C76">
        <v>52</v>
      </c>
      <c r="D76">
        <v>2</v>
      </c>
    </row>
    <row r="77" spans="1:4">
      <c r="A77">
        <v>96</v>
      </c>
      <c r="B77">
        <v>123</v>
      </c>
      <c r="C77">
        <v>31</v>
      </c>
      <c r="D77">
        <v>2</v>
      </c>
    </row>
    <row r="78" spans="1:4">
      <c r="A78">
        <v>75</v>
      </c>
      <c r="B78">
        <v>82</v>
      </c>
      <c r="C78">
        <v>29</v>
      </c>
      <c r="D78">
        <v>2</v>
      </c>
    </row>
    <row r="79" spans="1:4">
      <c r="A79">
        <v>81</v>
      </c>
      <c r="B79">
        <v>102</v>
      </c>
      <c r="C79">
        <v>42</v>
      </c>
      <c r="D79">
        <v>2</v>
      </c>
    </row>
    <row r="80" spans="1:4">
      <c r="A80">
        <v>99</v>
      </c>
      <c r="B80">
        <v>141</v>
      </c>
      <c r="C80">
        <v>13</v>
      </c>
      <c r="D80">
        <v>2</v>
      </c>
    </row>
    <row r="81" spans="1:4">
      <c r="A81">
        <v>104</v>
      </c>
      <c r="B81">
        <v>141</v>
      </c>
      <c r="C81">
        <v>56</v>
      </c>
      <c r="D81">
        <v>2</v>
      </c>
    </row>
    <row r="82" spans="1:4">
      <c r="A82">
        <v>110</v>
      </c>
      <c r="B82">
        <v>154</v>
      </c>
      <c r="C82">
        <v>10</v>
      </c>
      <c r="D82">
        <v>2</v>
      </c>
    </row>
    <row r="83" spans="1:4">
      <c r="A83">
        <v>91</v>
      </c>
      <c r="B83">
        <v>59</v>
      </c>
      <c r="C83">
        <v>33</v>
      </c>
      <c r="D83">
        <v>2</v>
      </c>
    </row>
    <row r="84" spans="1:4">
      <c r="A84">
        <v>107</v>
      </c>
      <c r="B84">
        <v>167</v>
      </c>
      <c r="C84">
        <v>13</v>
      </c>
      <c r="D84">
        <v>2</v>
      </c>
    </row>
    <row r="85" spans="1:4">
      <c r="A85">
        <v>103</v>
      </c>
      <c r="B85">
        <v>127</v>
      </c>
      <c r="C85">
        <v>9</v>
      </c>
      <c r="D85">
        <v>2</v>
      </c>
    </row>
    <row r="86" spans="1:4">
      <c r="A86">
        <v>104</v>
      </c>
      <c r="B86">
        <v>141</v>
      </c>
      <c r="C86">
        <v>56</v>
      </c>
      <c r="D86">
        <v>2</v>
      </c>
    </row>
    <row r="87" spans="1:4">
      <c r="A87">
        <v>110</v>
      </c>
      <c r="B87">
        <v>154</v>
      </c>
      <c r="C87">
        <v>10</v>
      </c>
      <c r="D87">
        <v>2</v>
      </c>
    </row>
    <row r="88" spans="1:4">
      <c r="A88">
        <v>99</v>
      </c>
      <c r="B88">
        <v>141</v>
      </c>
      <c r="C88">
        <v>13</v>
      </c>
      <c r="D88">
        <v>2</v>
      </c>
    </row>
    <row r="89" spans="1:4">
      <c r="A89">
        <v>70</v>
      </c>
      <c r="B89">
        <v>107</v>
      </c>
      <c r="C89">
        <v>23</v>
      </c>
      <c r="D89">
        <v>2</v>
      </c>
    </row>
    <row r="90" spans="1:4">
      <c r="A90">
        <v>92</v>
      </c>
      <c r="B90">
        <v>133</v>
      </c>
      <c r="C90">
        <v>5</v>
      </c>
      <c r="D90">
        <v>2</v>
      </c>
    </row>
    <row r="91" spans="1:4">
      <c r="A91">
        <v>79</v>
      </c>
      <c r="B91">
        <v>112</v>
      </c>
      <c r="C91">
        <v>18</v>
      </c>
      <c r="D91">
        <v>2</v>
      </c>
    </row>
    <row r="92" spans="1:4">
      <c r="A92">
        <v>115</v>
      </c>
      <c r="B92">
        <v>133</v>
      </c>
      <c r="C92">
        <v>25</v>
      </c>
      <c r="D92">
        <v>2</v>
      </c>
    </row>
  </sheetData>
  <mergeCells count="4">
    <mergeCell ref="K6:M6"/>
    <mergeCell ref="K12:M12"/>
    <mergeCell ref="K17:M17"/>
    <mergeCell ref="K23:L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Spreadsheet WPS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fix</vt:lpstr>
      <vt:lpstr>Coba-coba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Iqbal</dc:creator>
  <cp:lastModifiedBy>Faiz Iqbal</cp:lastModifiedBy>
  <dcterms:created xsi:type="dcterms:W3CDTF">2025-03-25T13:41:00Z</dcterms:created>
  <dcterms:modified xsi:type="dcterms:W3CDTF">2025-03-25T15:44:54Z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C2E580DBD4A545BA8B9DAB43CBE3F975_11</vt:lpwstr>
  </property>
  <property fmtid="{D5CDD505-2E9C-101B-9397-08002B2CF9AE}" pid="3" name="KSOProductBuildVer">
    <vt:lpwstr>1057-12.2.0.20326</vt:lpwstr>
  </property>
</Properties>
</file>